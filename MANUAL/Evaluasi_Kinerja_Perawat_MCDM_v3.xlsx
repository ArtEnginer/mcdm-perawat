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ER" sheetId="1" state="visible" r:id="rId3"/>
    <sheet name="TAHAP 1 – K-MEANS" sheetId="2" state="visible" r:id="rId4"/>
    <sheet name="TAHAP 2 – AHP" sheetId="3" state="visible" r:id="rId5"/>
    <sheet name="TAHAP 3 – WP" sheetId="4" state="visible" r:id="rId6"/>
    <sheet name="TAHAP 4 – TOPSIS" sheetId="5" state="visible" r:id="rId7"/>
    <sheet name="TAHAP 5 – MOD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<sst xmlns="http://schemas.openxmlformats.org/spreadsheetml/2006/main" count="320" uniqueCount="185">
  <si>
    <t xml:space="preserve">MODEL KONSEPTUAL EVALUASI KINERJA PERAWAT
Berbasis Klasterisasi &amp; Hybrid MCDM (AHP–WP–TOPSIS)</t>
  </si>
  <si>
    <t xml:space="preserve">Fatkhurrochman, S.Kom, M.Kom | 2026</t>
  </si>
  <si>
    <t xml:space="preserve">NAVIGASI SHEET</t>
  </si>
  <si>
    <t xml:space="preserve">  ▶  TAHAP 1 – K-MEANS</t>
  </si>
  <si>
    <t xml:space="preserve">Klasterisasi pola kinerja perawat (K-Means, k=3)</t>
  </si>
  <si>
    <t xml:space="preserve">  ▶  TAHAP 2 – AHP</t>
  </si>
  <si>
    <t xml:space="preserve">Pembobotan kriteria AHP + uji Consistency Ratio</t>
  </si>
  <si>
    <t xml:space="preserve">  ▶  TAHAP 3 – WP</t>
  </si>
  <si>
    <t xml:space="preserve">Agregasi nilai kinerja Weighted Product</t>
  </si>
  <si>
    <t xml:space="preserve">  ▶  TAHAP 4 – TOPSIS</t>
  </si>
  <si>
    <t xml:space="preserve">Validasi pemeringkatan TOPSIS</t>
  </si>
  <si>
    <t xml:space="preserve">  ▶  TAHAP 5 – MODEL</t>
  </si>
  <si>
    <t xml:space="preserve">Rekapitulasi final &amp; Model Konseptual</t>
  </si>
  <si>
    <t xml:space="preserve">TAHAP 1: KLASTERISASI POLA KINERJA PERAWAT (K-MEANS CLUSTERING)</t>
  </si>
  <si>
    <t xml:space="preserve">Algoritma K-Means | 7 Kriteria | k = 3 Klaster | Silhouette Score ≥ 0.5</t>
  </si>
  <si>
    <t xml:space="preserve">A. DATA KINERJA PERAWAT (Skala 1–10) — Input Hardcode pada C1–C7</t>
  </si>
  <si>
    <t xml:space="preserve">No</t>
  </si>
  <si>
    <t xml:space="preserve">Nama Perawat</t>
  </si>
  <si>
    <t xml:space="preserve">C1
Komp. Klinis</t>
  </si>
  <si>
    <t xml:space="preserve">C2
Profesionalisme</t>
  </si>
  <si>
    <t xml:space="preserve">C3
Kolaborasi Tim</t>
  </si>
  <si>
    <t xml:space="preserve">C4
Orientasi Hasil</t>
  </si>
  <si>
    <t xml:space="preserve">C5
Keselamatan</t>
  </si>
  <si>
    <t xml:space="preserve">C6
Mgmt Waktu</t>
  </si>
  <si>
    <t xml:space="preserve">C7
Komunikasi</t>
  </si>
  <si>
    <t xml:space="preserve">Total Skor</t>
  </si>
  <si>
    <t xml:space="preserve">Rata-rata</t>
  </si>
  <si>
    <t xml:space="preserve">Klaster</t>
  </si>
  <si>
    <t xml:space="preserve">Andi Setiawan</t>
  </si>
  <si>
    <t xml:space="preserve">Budi Santoso</t>
  </si>
  <si>
    <t xml:space="preserve">Citra Dewi</t>
  </si>
  <si>
    <t xml:space="preserve">Dian Pratiwi</t>
  </si>
  <si>
    <t xml:space="preserve">Eko Wahyudi</t>
  </si>
  <si>
    <t xml:space="preserve">Fitri Handayani</t>
  </si>
  <si>
    <t xml:space="preserve">Galih Nugroho</t>
  </si>
  <si>
    <t xml:space="preserve">Hana Putri</t>
  </si>
  <si>
    <t xml:space="preserve">Indra Kusuma</t>
  </si>
  <si>
    <t xml:space="preserve">Joko Purnomo</t>
  </si>
  <si>
    <t xml:space="preserve">B. CENTROID K-MEANS (Hasil Iterasi Final) — Input Pakar/Algoritma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</si>
  <si>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</si>
  <si>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</si>
  <si>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</si>
  <si>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</si>
  <si>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</si>
  <si>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</si>
  <si>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</si>
  <si>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Label</t>
  </si>
  <si>
    <t xml:space="preserve">K1 (Tinggi)</t>
  </si>
  <si>
    <t xml:space="preserve">Kinerja TINGGI</t>
  </si>
  <si>
    <t xml:space="preserve">K2 (Sedang)</t>
  </si>
  <si>
    <t xml:space="preserve">Kinerja SEDANG</t>
  </si>
  <si>
    <t xml:space="preserve">K3 (Rendah)</t>
  </si>
  <si>
    <t xml:space="preserve">Kinerja RENDAH</t>
  </si>
  <si>
    <t xml:space="preserve">C. JARAK EUCLIDEAN KE CENTROID (Formula Excel) &amp; PENUGASAN KLASTER</t>
  </si>
  <si>
    <t xml:space="preserve">Perawat</t>
  </si>
  <si>
    <t xml:space="preserve">d² → K1</t>
  </si>
  <si>
    <t xml:space="preserve">d² → K2</t>
  </si>
  <si>
    <t xml:space="preserve">d² → K3</t>
  </si>
  <si>
    <t xml:space="preserve">D→K1</t>
  </si>
  <si>
    <t xml:space="preserve">D→K2</t>
  </si>
  <si>
    <t xml:space="preserve">D→K3</t>
  </si>
  <si>
    <t xml:space="preserve">Klaster
Terdekat</t>
  </si>
  <si>
    <t xml:space="preserve">Label Klaster</t>
  </si>
  <si>
    <t xml:space="preserve">✔  Silhouette Score (Dihitung Aktual) = 0.3219  →  Klasterisasi Perlu Ditinjau</t>
  </si>
  <si>
    <t xml:space="preserve">D. LOG PROSES ITERASI K-MEANS (Dihitung dari Data Mentah — Bukan Hardcode)</t>
  </si>
  <si>
    <t xml:space="preserve">Centroid Awal dipilih berbasis domain (high/mid/low). Setiap iterasi: Langkah E (Assign) + Langkah M (Update Centroid). Berhenti saat label tidak berubah.</t>
  </si>
  <si>
    <t xml:space="preserve">Centroid Awal (Iterasi ke-0) — Titik Representatif Berbasis Domain</t>
  </si>
  <si>
    <t xml:space="preserve">Representatif (Init)</t>
  </si>
  <si>
    <t xml:space="preserve">K1 (awal)</t>
  </si>
  <si>
    <t xml:space="preserve">K2 (awal)</t>
  </si>
  <si>
    <t xml:space="preserve">K3 (awal)</t>
  </si>
  <si>
    <t xml:space="preserve">ITERASI 1 — Label BERUBAH → Centroid diperbarui</t>
  </si>
  <si>
    <t xml:space="preserve">Anggota (Perawat)</t>
  </si>
  <si>
    <t xml:space="preserve">K1</t>
  </si>
  <si>
    <t xml:space="preserve">Andi Setiawan, Citra Dewi, Galih Nugroho, Indra Kusuma</t>
  </si>
  <si>
    <t xml:space="preserve">K2</t>
  </si>
  <si>
    <t xml:space="preserve">Dian Pratiwi, Eko Wahyudi, Hana Putri</t>
  </si>
  <si>
    <t xml:space="preserve">K3</t>
  </si>
  <si>
    <t xml:space="preserve">Budi Santoso, Fitri Handayani, Joko Purnomo</t>
  </si>
  <si>
    <t xml:space="preserve">ITERASI 2 — Label TIDAK BERUBAH → KONVERGEN ✔</t>
  </si>
  <si>
    <t xml:space="preserve">E. HASIL PENUGASAN KLASTER PER PERAWAT (Iterasi Final)</t>
  </si>
  <si>
    <t xml:space="preserve">D²→K1</t>
  </si>
  <si>
    <t xml:space="preserve">D²→K2</t>
  </si>
  <si>
    <t xml:space="preserve">D²→K3</t>
  </si>
  <si>
    <t xml:space="preserve">TINGGI</t>
  </si>
  <si>
    <t xml:space="preserve">RENDAH</t>
  </si>
  <si>
    <t xml:space="preserve">SEDANG</t>
  </si>
  <si>
    <t xml:space="preserve">Silhouette Score (dihitung dari data aktual) = 0.3219  →  ⚠ Perlu ditinjau (&lt; 0.5)</t>
  </si>
  <si>
    <t xml:space="preserve">TAHAP 2: PEMBOBOTAN KRITERIA – ANALYTICAL HIERARCHY PROCESS (AHP)</t>
  </si>
  <si>
    <t xml:space="preserve">Pairwise Matrix = Input Pakar | Normalisasi &amp; CR = Formula Excel</t>
  </si>
  <si>
    <t xml:space="preserve">A. MATRIKS PERBANDINGAN BERPASANGAN — Input Pakar (Skala 1–9 Saaty)</t>
  </si>
  <si>
    <t xml:space="preserve">Kriteria / Kriteria</t>
  </si>
  <si>
    <t xml:space="preserve">C1: Komp. Klinis</t>
  </si>
  <si>
    <t xml:space="preserve">C2: Profesionalisme</t>
  </si>
  <si>
    <t xml:space="preserve">C3: Kolaborasi Tim</t>
  </si>
  <si>
    <t xml:space="preserve">C4: Orientasi Hasil</t>
  </si>
  <si>
    <t xml:space="preserve">C5: Keselamatan</t>
  </si>
  <si>
    <t xml:space="preserve">C6: Mgmt Waktu</t>
  </si>
  <si>
    <t xml:space="preserve">C7: Komunikasi</t>
  </si>
  <si>
    <t xml:space="preserve">JUMLAH KOLOM</t>
  </si>
  <si>
    <t xml:space="preserve">B. MATRIKS NORMALISASI (rij = xij / jumlah kolom-j) &amp; BOBOT PRIORITAS</t>
  </si>
  <si>
    <t xml:space="preserve">Kriteria</t>
  </si>
  <si>
    <t xml:space="preserve">Bobot (W)</t>
  </si>
  <si>
    <t xml:space="preserve">C. UJI KONSISTENSI (Consistency Ratio — CR &lt; 0.1)</t>
  </si>
  <si>
    <t xml:space="preserve">Weighted Sum Vector (WSV)</t>
  </si>
  <si>
    <t xml:space="preserve">Lambda Vector (λi = WSV / Wi)</t>
  </si>
  <si>
    <t xml:space="preserve">n (Jumlah Kriteria)</t>
  </si>
  <si>
    <t xml:space="preserve">7</t>
  </si>
  <si>
    <t xml:space="preserve">λmax = AVERAGE(λi)</t>
  </si>
  <si>
    <t xml:space="preserve">CI = (λmax − n) / (n−1)</t>
  </si>
  <si>
    <t xml:space="preserve">RI (n=7, tabel Saaty)</t>
  </si>
  <si>
    <t xml:space="preserve">CR = CI / RI</t>
  </si>
  <si>
    <t xml:space="preserve">Status Konsistensi</t>
  </si>
  <si>
    <t xml:space="preserve">TAHAP 3: AGREGASI NILAI KINERJA — WEIGHTED PRODUCT (WP)</t>
  </si>
  <si>
    <t xml:space="preserve">Formula: Si = ∏(Xij ^ Wj) | Bobot diambil dari Sheet AHP (formula referencing)</t>
  </si>
  <si>
    <t xml:space="preserve">A. BOBOT KRITERIA (Referensi dari Sheet TAHAP 2 – AHP)</t>
  </si>
  <si>
    <t xml:space="preserve">Kriteria/Perawat</t>
  </si>
  <si>
    <t xml:space="preserve">WP Score (Si)</t>
  </si>
  <si>
    <t xml:space="preserve">Rank WP</t>
  </si>
  <si>
    <t xml:space="preserve">B. DATA KINERJA &amp; PERHITUNGAN WP SCORE</t>
  </si>
  <si>
    <t xml:space="preserve">Catatan: Si dihitung via formula POWER non-linear. Rank via fungsi RANK(). Bobot = referensi AHP.</t>
  </si>
  <si>
    <t xml:space="preserve">TAHAP 4: VALIDASI PEMERINGKATAN — TOPSIS</t>
  </si>
  <si>
    <t xml:space="preserve">Semua langkah (normalisasi, pembobotan, D+, D−, Ci, Rank) = Formula Excel</t>
  </si>
  <si>
    <t xml:space="preserve">LANGKAH 1: NORMALISASI MATRIKS KEPUTUSAN  rij = xij / √(Σ xij²)</t>
  </si>
  <si>
    <t xml:space="preserve">r_C1</t>
  </si>
  <si>
    <t xml:space="preserve">r_C2</t>
  </si>
  <si>
    <t xml:space="preserve">r_C3</t>
  </si>
  <si>
    <t xml:space="preserve">r_C4</t>
  </si>
  <si>
    <t xml:space="preserve">r_C5</t>
  </si>
  <si>
    <t xml:space="preserve">r_C6</t>
  </si>
  <si>
    <t xml:space="preserve">r_C7</t>
  </si>
  <si>
    <t xml:space="preserve">D+ (Pos)</t>
  </si>
  <si>
    <t xml:space="preserve">D- (Neg)</t>
  </si>
  <si>
    <t xml:space="preserve">Ci (Kedekatan)</t>
  </si>
  <si>
    <t xml:space="preserve">Rank</t>
  </si>
  <si>
    <t xml:space="preserve">√(Σxij²) Pembagi</t>
  </si>
  <si>
    <t xml:space="preserve">LANGKAH 2: MATRIKS NORMALISASI TERBOBOT  vij = rij × Wj</t>
  </si>
  <si>
    <t xml:space="preserve">v_C1</t>
  </si>
  <si>
    <t xml:space="preserve">v_C2</t>
  </si>
  <si>
    <t xml:space="preserve">v_C3</t>
  </si>
  <si>
    <t xml:space="preserve">v_C4</t>
  </si>
  <si>
    <t xml:space="preserve">v_C5</t>
  </si>
  <si>
    <t xml:space="preserve">v_C6</t>
  </si>
  <si>
    <t xml:space="preserve">v_C7</t>
  </si>
  <si>
    <t xml:space="preserve">A+ (Ideal Positif)</t>
  </si>
  <si>
    <t xml:space="preserve">A− (Ideal Negatif)</t>
  </si>
  <si>
    <t xml:space="preserve">VALIDASI KESESUAIAN PERINGKAT WP vs TOPSIS</t>
  </si>
  <si>
    <t xml:space="preserve">Rank TOPSIS</t>
  </si>
  <si>
    <t xml:space="preserve">|ΔRank|</t>
  </si>
  <si>
    <t xml:space="preserve">Konsisten?</t>
  </si>
  <si>
    <t xml:space="preserve">Tingkat Kesesuaian WP–TOPSIS → (Formula) = COUNTIF(✔ YA)/10 × 100%</t>
  </si>
  <si>
    <t xml:space="preserve">TAHAP 5: MODEL KONSEPTUAL – REKAPITULASI EVALUASI KINERJA PERAWAT</t>
  </si>
  <si>
    <t xml:space="preserve">Seluruh data = referensi formula dari sheet sebelumnya | Integrasi K-Means+AHP+WP+TOPSIS</t>
  </si>
  <si>
    <t xml:space="preserve">REKAPITULASI FINAL: PEMERINGKATAN KINERJA PERAWAT</t>
  </si>
  <si>
    <t xml:space="preserve">WP Score</t>
  </si>
  <si>
    <t xml:space="preserve">TOPSIS Ci</t>
  </si>
  <si>
    <t xml:space="preserve">Rank Final (Avg)</t>
  </si>
  <si>
    <t xml:space="preserve">Rank Final</t>
  </si>
  <si>
    <t xml:space="preserve">Rekomendasi</t>
  </si>
  <si>
    <t xml:space="preserve">RINGKASAN PER KLASTER (Formula COUNTIF &amp; AVERAGEIF)</t>
  </si>
  <si>
    <t xml:space="preserve">Jumlah Perawat</t>
  </si>
  <si>
    <t xml:space="preserve">Rata-rata WP Score</t>
  </si>
  <si>
    <t xml:space="preserve">Rata-rata TOPSIS Ci</t>
  </si>
  <si>
    <t xml:space="preserve">Rekomendasi Manajerial</t>
  </si>
  <si>
    <t xml:space="preserve">"K1" – Kinerja TINGGI</t>
  </si>
  <si>
    <t xml:space="preserve">Prioritas promosi, berikan peran mentor dan pengembangan karir</t>
  </si>
  <si>
    <t xml:space="preserve">"K2" – Kinerja SEDANG</t>
  </si>
  <si>
    <t xml:space="preserve">Pelatihan targeted, monitoring berkala, reward berbasis capaian</t>
  </si>
  <si>
    <t xml:space="preserve">"K3" – Kinerja RENDAH</t>
  </si>
  <si>
    <t xml:space="preserve">Program pembinaan intensif, mentoring, review ulang beban kerja</t>
  </si>
  <si>
    <t xml:space="preserve">KERANGKA MODEL KONSEPTUAL EVALUASI KINERJA PERAWAT</t>
  </si>
  <si>
    <t xml:space="preserve">INPUT</t>
  </si>
  <si>
    <t xml:space="preserve">Data kinerja perawat multidimensi (7 kriteria, 10 perawat)</t>
  </si>
  <si>
    <t xml:space="preserve">PROSES 1</t>
  </si>
  <si>
    <t xml:space="preserve">K-Means Clustering → Segmentasi klaster kinerja (K1/K2/K3)</t>
  </si>
  <si>
    <t xml:space="preserve">PROSES 2</t>
  </si>
  <si>
    <t xml:space="preserve">AHP → Bobot prioritas kriteria, CR &lt; 0.1 (konsisten)</t>
  </si>
  <si>
    <t xml:space="preserve">PROSES 3</t>
  </si>
  <si>
    <t xml:space="preserve">Weighted Product (WP) → Skor preferensi Si = ∏(Xij^Wj)</t>
  </si>
  <si>
    <t xml:space="preserve">PROSES 4</t>
  </si>
  <si>
    <t xml:space="preserve">TOPSIS → Ci = D− / (D+ + D−), validasi silang ≥ 75%</t>
  </si>
  <si>
    <t xml:space="preserve">OUTPUT</t>
  </si>
  <si>
    <t xml:space="preserve">Pemeringkatan final + Label klaster kinerja</t>
  </si>
  <si>
    <t xml:space="preserve">KEPUTUSAN</t>
  </si>
  <si>
    <t xml:space="preserve">Rekomendasi manajerial: Promosi / Pertahankan / Pembinaan Intensif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</si>
</sst>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000"/>
    <numFmt numFmtId="168" formatCode="General"/>
    <numFmt numFmtId="169" formatCode="0.0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A5276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8"/>
      <name val="Arial"/>
      <family val="0"/>
      <charset val="1"/>
    </font>
    <font>
      <b val="true"/>
      <sz val="9"/>
      <color rgb="FF117A6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sz val="10"/>
      <color rgb="FFFF0000"/>
      <name val="Arial"/>
      <family val="2"/>
      <charset val="1"/>
    </font>
    <font>
      <sz val="10"/>
      <name val="Arial"/>
      <family val="0"/>
      <charset val="1"/>
    </font>
    <font>
      <sz val="9"/>
      <color rgb="FF000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75B6"/>
        <bgColor rgb="FF2E86C1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EBF5FB"/>
      </patternFill>
    </fill>
    <fill>
      <patternFill patternType="solid">
        <fgColor rgb="FFFFFFFF"/>
        <bgColor rgb="FFFDFEFE"/>
      </patternFill>
    </fill>
    <fill>
      <patternFill patternType="solid">
        <fgColor rgb="FFE2EFDA"/>
        <bgColor rgb="FFD5E8D4"/>
      </patternFill>
    </fill>
    <fill>
      <patternFill patternType="solid">
        <fgColor rgb="FFFFF2CC"/>
        <bgColor rgb="FFFFE6CC"/>
      </patternFill>
    </fill>
    <fill>
      <patternFill patternType="solid">
        <fgColor rgb="FFFCE4D6"/>
        <bgColor rgb="FFFFE6CC"/>
      </patternFill>
    </fill>
    <fill>
      <patternFill patternType="solid">
        <fgColor rgb="FF117A65"/>
        <bgColor rgb="FF339966"/>
      </patternFill>
    </fill>
    <fill>
      <patternFill patternType="solid">
        <fgColor rgb="FF2E86C1"/>
        <bgColor rgb="FF2E75B6"/>
      </patternFill>
    </fill>
    <fill>
      <patternFill patternType="solid">
        <fgColor rgb="FF5DADE2"/>
        <bgColor rgb="FF2E86C1"/>
      </patternFill>
    </fill>
    <fill>
      <patternFill patternType="solid">
        <fgColor rgb="FFD6EAF8"/>
        <bgColor rgb="FFDAE8FC"/>
      </patternFill>
    </fill>
    <fill>
      <patternFill patternType="solid">
        <fgColor rgb="FFEBF5FB"/>
        <bgColor rgb="FFF2F2F2"/>
      </patternFill>
    </fill>
    <fill>
      <patternFill patternType="solid">
        <fgColor rgb="FFFDFEFE"/>
        <bgColor rgb="FFFFFFFF"/>
      </patternFill>
    </fill>
    <fill>
      <patternFill patternType="solid">
        <fgColor rgb="FF1A5276"/>
        <bgColor rgb="FF1F4E79"/>
      </patternFill>
    </fill>
    <fill>
      <patternFill patternType="solid">
        <fgColor rgb="FFDAE8FC"/>
        <bgColor rgb="FFD6EAF8"/>
      </patternFill>
    </fill>
    <fill>
      <patternFill patternType="solid">
        <fgColor rgb="FFD5E8D4"/>
        <bgColor rgb="FFE2EFDA"/>
      </patternFill>
    </fill>
    <fill>
      <patternFill patternType="solid">
        <fgColor rgb="FFFFE6CC"/>
        <bgColor rgb="FFFCE4D6"/>
      </patternFill>
    </fill>
    <fill>
      <patternFill patternType="solid">
        <fgColor rgb="FF1ABC9C"/>
        <bgColor rgb="FF339966"/>
      </patternFill>
    </fill>
    <fill>
      <patternFill patternType="solid">
        <fgColor rgb="FFC00000"/>
        <bgColor rgb="FFFF0000"/>
      </patternFill>
    </fill>
    <fill>
      <patternFill patternType="solid">
        <fgColor rgb="FFEAD1DC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0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C00000"/>
      <rgbColor rgb="FF008000"/>
      <rgbColor rgb="FF000080"/>
      <rgbColor rgb="FF808000"/>
      <rgbColor rgb="FF800080"/>
      <rgbColor rgb="FF117A65"/>
      <rgbColor rgb="FFCCCCCC"/>
      <rgbColor rgb="FF808080"/>
      <rgbColor rgb="FF5DADE2"/>
      <rgbColor rgb="FF993366"/>
      <rgbColor rgb="FFFFF2CC"/>
      <rgbColor rgb="FFD6EAF8"/>
      <rgbColor rgb="FF660066"/>
      <rgbColor rgb="FFFF8080"/>
      <rgbColor rgb="FF0066CC"/>
      <rgbColor rgb="FFBDD7EE"/>
      <rgbColor rgb="FF000080"/>
      <rgbColor rgb="FFFF00FF"/>
      <rgbColor rgb="FFFDFEFE"/>
      <rgbColor rgb="FF00FFFF"/>
      <rgbColor rgb="FF800080"/>
      <rgbColor rgb="FF800000"/>
      <rgbColor rgb="FF2E86C1"/>
      <rgbColor rgb="FF0000FF"/>
      <rgbColor rgb="FF00CCFF"/>
      <rgbColor rgb="FFEBF5FB"/>
      <rgbColor rgb="FFE2EFDA"/>
      <rgbColor rgb="FFFFE6CC"/>
      <rgbColor rgb="FFDAE8FC"/>
      <rgbColor rgb="FFFCE4D6"/>
      <rgbColor rgb="FFD5E8D4"/>
      <rgbColor rgb="FFEAD1DC"/>
      <rgbColor rgb="FF2E75B6"/>
      <rgbColor rgb="FF1ABC9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75623"/>
      <rgbColor rgb="FFC0392B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5"/>
    <col collapsed="false" customWidth="true" hidden="false" outlineLevel="0" max="4" min="4" style="0" width="20"/>
  </cols>
  <sheetData>
    <row r="2" customFormat="false" ht="54.75" hidden="false" customHeight="true" outlineLevel="0" collapsed="false">
      <c r="B2" s="1" t="s">
        <v>0</v>
      </c>
      <c r="C2" s="1"/>
      <c r="D2" s="1"/>
    </row>
    <row r="3" customFormat="false" ht="15" hidden="false" customHeight="true" outlineLevel="0" collapsed="false">
      <c r="B3" s="2" t="s">
        <v>1</v>
      </c>
      <c r="C3" s="2"/>
      <c r="D3" s="2"/>
    </row>
    <row r="5" customFormat="false" ht="15" hidden="false" customHeight="true" outlineLevel="0" collapsed="false">
      <c r="B5" s="3" t="s">
        <v>2</v>
      </c>
    </row>
    <row r="6" customFormat="false" ht="21.75" hidden="false" customHeight="true" outlineLevel="0" collapsed="false">
      <c r="B6" s="4" t="s">
        <v>3</v>
      </c>
      <c r="C6" s="5" t="s">
        <v>4</v>
      </c>
      <c r="D6" s="5"/>
    </row>
    <row r="7" customFormat="false" ht="21.75" hidden="false" customHeight="true" outlineLevel="0" collapsed="false">
      <c r="B7" s="4" t="s">
        <v>5</v>
      </c>
      <c r="C7" s="5" t="s">
        <v>6</v>
      </c>
      <c r="D7" s="5"/>
    </row>
    <row r="8" customFormat="false" ht="21.75" hidden="false" customHeight="true" outlineLevel="0" collapsed="false">
      <c r="B8" s="4" t="s">
        <v>7</v>
      </c>
      <c r="C8" s="5" t="s">
        <v>8</v>
      </c>
      <c r="D8" s="5"/>
    </row>
    <row r="9" customFormat="false" ht="21.75" hidden="false" customHeight="true" outlineLevel="0" collapsed="false">
      <c r="B9" s="4" t="s">
        <v>9</v>
      </c>
      <c r="C9" s="5" t="s">
        <v>10</v>
      </c>
      <c r="D9" s="5"/>
    </row>
    <row r="10" customFormat="false" ht="21.75" hidden="false" customHeight="true" outlineLevel="0" collapsed="false">
      <c r="B10" s="4" t="s">
        <v>11</v>
      </c>
      <c r="C10" s="5" t="s">
        <v>12</v>
      </c>
      <c r="D10" s="5"/>
    </row>
  </sheetData>
  <mergeCells count="7">
    <mergeCell ref="B2:D2"/>
    <mergeCell ref="B3:D3"/>
    <mergeCell ref="C6:D6"/>
    <mergeCell ref="C7:D7"/>
    <mergeCell ref="C8:D8"/>
    <mergeCell ref="C9:D9"/>
    <mergeCell ref="C10:D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9" min="3" style="0" width="8"/>
    <col collapsed="false" customWidth="true" hidden="false" outlineLevel="0" max="15" min="10" style="0" width="10"/>
    <col collapsed="false" customWidth="true" hidden="false" outlineLevel="0" max="17" min="16" style="0" width="8"/>
  </cols>
  <sheetData>
    <row r="1" customFormat="false" ht="15" hidden="false" customHeight="true" outlineLevel="0" collapsed="false">
      <c r="B1" s="6" t="s">
        <v>13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5" hidden="false" customHeight="true" outlineLevel="0" collapsed="false">
      <c r="B2" s="2" t="s">
        <v>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B4" s="7" t="s">
        <v>15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39.75" hidden="false" customHeight="true" outlineLevel="0" collapsed="false">
      <c r="B5" s="8" t="s">
        <v>16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8" t="s">
        <v>26</v>
      </c>
      <c r="M5" s="8" t="s">
        <v>27</v>
      </c>
    </row>
    <row r="6" customFormat="false" ht="25.5" hidden="false" customHeight="true" outlineLevel="0" collapsed="false">
      <c r="B6" s="9" t="n">
        <v>1</v>
      </c>
      <c r="C6" s="5" t="s">
        <v>28</v>
      </c>
      <c r="D6" s="9" t="n">
        <v>8</v>
      </c>
      <c r="E6" s="9" t="n">
        <v>7</v>
      </c>
      <c r="F6" s="9" t="n">
        <v>9</v>
      </c>
      <c r="G6" s="9" t="n">
        <v>8</v>
      </c>
      <c r="H6" s="9" t="n">
        <v>9</v>
      </c>
      <c r="I6" s="9" t="n">
        <v>7</v>
      </c>
      <c r="J6" s="9" t="n">
        <v>8</v>
      </c>
      <c r="K6" s="10" t="n">
        <f aca="false">SUM(D6:J6)</f>
        <v>56</v>
      </c>
      <c r="L6" s="11" t="n">
        <f aca="false">AVERAGE(D6:J6)</f>
        <v>8</v>
      </c>
      <c r="M6" s="12" t="str">
        <f aca="false">J25</f>
        <v>K1</v>
      </c>
    </row>
    <row r="7" customFormat="false" ht="25.5" hidden="false" customHeight="true" outlineLevel="0" collapsed="false">
      <c r="B7" s="13" t="n">
        <v>2</v>
      </c>
      <c r="C7" s="14" t="s">
        <v>29</v>
      </c>
      <c r="D7" s="13" t="n">
        <v>5</v>
      </c>
      <c r="E7" s="13" t="n">
        <v>6</v>
      </c>
      <c r="F7" s="13" t="n">
        <v>5</v>
      </c>
      <c r="G7" s="13" t="n">
        <v>6</v>
      </c>
      <c r="H7" s="13" t="n">
        <v>5</v>
      </c>
      <c r="I7" s="13" t="n">
        <v>6</v>
      </c>
      <c r="J7" s="13" t="n">
        <v>5</v>
      </c>
      <c r="K7" s="15" t="n">
        <f aca="false">SUM(D7:J7)</f>
        <v>38</v>
      </c>
      <c r="L7" s="16" t="n">
        <f aca="false">AVERAGE(D7:J7)</f>
        <v>5.42857142857143</v>
      </c>
      <c r="M7" s="12" t="str">
        <f aca="false">J26</f>
        <v>K3</v>
      </c>
    </row>
    <row r="8" customFormat="false" ht="23.85" hidden="false" customHeight="false" outlineLevel="0" collapsed="false">
      <c r="B8" s="9" t="n">
        <v>3</v>
      </c>
      <c r="C8" s="5" t="s">
        <v>30</v>
      </c>
      <c r="D8" s="9" t="n">
        <v>9</v>
      </c>
      <c r="E8" s="9" t="n">
        <v>9</v>
      </c>
      <c r="F8" s="9" t="n">
        <v>8</v>
      </c>
      <c r="G8" s="9" t="n">
        <v>9</v>
      </c>
      <c r="H8" s="9" t="n">
        <v>9</v>
      </c>
      <c r="I8" s="9" t="n">
        <v>8</v>
      </c>
      <c r="J8" s="9" t="n">
        <v>9</v>
      </c>
      <c r="K8" s="10" t="n">
        <f aca="false">SUM(D8:J8)</f>
        <v>61</v>
      </c>
      <c r="L8" s="11" t="n">
        <f aca="false">AVERAGE(D8:J8)</f>
        <v>8.71428571428571</v>
      </c>
      <c r="M8" s="12" t="str">
        <f aca="false">J27</f>
        <v>K1</v>
      </c>
    </row>
    <row r="9" customFormat="false" ht="23.85" hidden="false" customHeight="false" outlineLevel="0" collapsed="false">
      <c r="B9" s="13" t="n">
        <v>4</v>
      </c>
      <c r="C9" s="14" t="s">
        <v>31</v>
      </c>
      <c r="D9" s="13" t="n">
        <v>6</v>
      </c>
      <c r="E9" s="13" t="n">
        <v>5</v>
      </c>
      <c r="F9" s="13" t="n">
        <v>6</v>
      </c>
      <c r="G9" s="13" t="n">
        <v>5</v>
      </c>
      <c r="H9" s="13" t="n">
        <v>6</v>
      </c>
      <c r="I9" s="13" t="n">
        <v>5</v>
      </c>
      <c r="J9" s="13" t="n">
        <v>6</v>
      </c>
      <c r="K9" s="15" t="n">
        <f aca="false">SUM(D9:J9)</f>
        <v>39</v>
      </c>
      <c r="L9" s="16" t="n">
        <f aca="false">AVERAGE(D9:J9)</f>
        <v>5.57142857142857</v>
      </c>
      <c r="M9" s="12" t="str">
        <f aca="false">J28</f>
        <v>K2</v>
      </c>
    </row>
    <row r="10" customFormat="false" ht="25.5" hidden="false" customHeight="true" outlineLevel="0" collapsed="false">
      <c r="B10" s="9" t="n">
        <v>5</v>
      </c>
      <c r="C10" s="5" t="s">
        <v>32</v>
      </c>
      <c r="D10" s="9" t="n">
        <v>7</v>
      </c>
      <c r="E10" s="9" t="n">
        <v>8</v>
      </c>
      <c r="F10" s="9" t="n">
        <v>7</v>
      </c>
      <c r="G10" s="9" t="n">
        <v>8</v>
      </c>
      <c r="H10" s="9" t="n">
        <v>7</v>
      </c>
      <c r="I10" s="9" t="n">
        <v>8</v>
      </c>
      <c r="J10" s="9" t="n">
        <v>7</v>
      </c>
      <c r="K10" s="10" t="n">
        <f aca="false">SUM(D10:J10)</f>
        <v>52</v>
      </c>
      <c r="L10" s="11" t="n">
        <f aca="false">AVERAGE(D10:J10)</f>
        <v>7.42857142857143</v>
      </c>
      <c r="M10" s="12" t="str">
        <f aca="false">J29</f>
        <v>K2</v>
      </c>
    </row>
    <row r="11" customFormat="false" ht="25.5" hidden="false" customHeight="true" outlineLevel="0" collapsed="false">
      <c r="B11" s="13" t="n">
        <v>6</v>
      </c>
      <c r="C11" s="14" t="s">
        <v>33</v>
      </c>
      <c r="D11" s="13" t="n">
        <v>4</v>
      </c>
      <c r="E11" s="13" t="n">
        <v>5</v>
      </c>
      <c r="F11" s="13" t="n">
        <v>4</v>
      </c>
      <c r="G11" s="13" t="n">
        <v>5</v>
      </c>
      <c r="H11" s="13" t="n">
        <v>4</v>
      </c>
      <c r="I11" s="13" t="n">
        <v>5</v>
      </c>
      <c r="J11" s="13" t="n">
        <v>4</v>
      </c>
      <c r="K11" s="15" t="n">
        <f aca="false">SUM(D11:J11)</f>
        <v>31</v>
      </c>
      <c r="L11" s="16" t="n">
        <f aca="false">AVERAGE(D11:J11)</f>
        <v>4.42857142857143</v>
      </c>
      <c r="M11" s="12" t="str">
        <f aca="false">J30</f>
        <v>K3</v>
      </c>
    </row>
    <row r="12" customFormat="false" ht="25.5" hidden="false" customHeight="true" outlineLevel="0" collapsed="false">
      <c r="B12" s="9" t="n">
        <v>7</v>
      </c>
      <c r="C12" s="5" t="s">
        <v>34</v>
      </c>
      <c r="D12" s="9" t="n">
        <v>9</v>
      </c>
      <c r="E12" s="9" t="n">
        <v>8</v>
      </c>
      <c r="F12" s="9" t="n">
        <v>9</v>
      </c>
      <c r="G12" s="9" t="n">
        <v>9</v>
      </c>
      <c r="H12" s="9" t="n">
        <v>8</v>
      </c>
      <c r="I12" s="9" t="n">
        <v>9</v>
      </c>
      <c r="J12" s="9" t="n">
        <v>8</v>
      </c>
      <c r="K12" s="10" t="n">
        <f aca="false">SUM(D12:J12)</f>
        <v>60</v>
      </c>
      <c r="L12" s="11" t="n">
        <f aca="false">AVERAGE(D12:J12)</f>
        <v>8.57142857142857</v>
      </c>
      <c r="M12" s="12" t="str">
        <f aca="false">J31</f>
        <v>K1</v>
      </c>
    </row>
    <row r="13" customFormat="false" ht="23.85" hidden="false" customHeight="false" outlineLevel="0" collapsed="false">
      <c r="B13" s="13" t="n">
        <v>8</v>
      </c>
      <c r="C13" s="14" t="s">
        <v>35</v>
      </c>
      <c r="D13" s="13" t="n">
        <v>6</v>
      </c>
      <c r="E13" s="13" t="n">
        <v>6</v>
      </c>
      <c r="F13" s="13" t="n">
        <v>7</v>
      </c>
      <c r="G13" s="13" t="n">
        <v>6</v>
      </c>
      <c r="H13" s="13" t="n">
        <v>7</v>
      </c>
      <c r="I13" s="13" t="n">
        <v>6</v>
      </c>
      <c r="J13" s="13" t="n">
        <v>7</v>
      </c>
      <c r="K13" s="15" t="n">
        <f aca="false">SUM(D13:J13)</f>
        <v>45</v>
      </c>
      <c r="L13" s="16" t="n">
        <f aca="false">AVERAGE(D13:J13)</f>
        <v>6.42857142857143</v>
      </c>
      <c r="M13" s="12" t="str">
        <f aca="false">J32</f>
        <v>K2</v>
      </c>
    </row>
    <row r="14" customFormat="false" ht="25.5" hidden="false" customHeight="true" outlineLevel="0" collapsed="false">
      <c r="B14" s="9" t="n">
        <v>9</v>
      </c>
      <c r="C14" s="5" t="s">
        <v>36</v>
      </c>
      <c r="D14" s="9" t="n">
        <v>8</v>
      </c>
      <c r="E14" s="9" t="n">
        <v>9</v>
      </c>
      <c r="F14" s="9" t="n">
        <v>8</v>
      </c>
      <c r="G14" s="9" t="n">
        <v>8</v>
      </c>
      <c r="H14" s="9" t="n">
        <v>9</v>
      </c>
      <c r="I14" s="9" t="n">
        <v>9</v>
      </c>
      <c r="J14" s="9" t="n">
        <v>8</v>
      </c>
      <c r="K14" s="10" t="n">
        <f aca="false">SUM(D14:J14)</f>
        <v>59</v>
      </c>
      <c r="L14" s="11" t="n">
        <f aca="false">AVERAGE(D14:J14)</f>
        <v>8.42857142857143</v>
      </c>
      <c r="M14" s="12" t="str">
        <f aca="false">J33</f>
        <v>K1</v>
      </c>
    </row>
    <row r="15" customFormat="false" ht="25.5" hidden="false" customHeight="true" outlineLevel="0" collapsed="false">
      <c r="B15" s="13" t="n">
        <v>10</v>
      </c>
      <c r="C15" s="14" t="s">
        <v>37</v>
      </c>
      <c r="D15" s="13" t="n">
        <v>5</v>
      </c>
      <c r="E15" s="13" t="n">
        <v>4</v>
      </c>
      <c r="F15" s="13" t="n">
        <v>5</v>
      </c>
      <c r="G15" s="13" t="n">
        <v>4</v>
      </c>
      <c r="H15" s="13" t="n">
        <v>5</v>
      </c>
      <c r="I15" s="13" t="n">
        <v>4</v>
      </c>
      <c r="J15" s="13" t="n">
        <v>5</v>
      </c>
      <c r="K15" s="15" t="n">
        <f aca="false">SUM(D15:J15)</f>
        <v>32</v>
      </c>
      <c r="L15" s="16" t="n">
        <f aca="false">AVERAGE(D15:J15)</f>
        <v>4.57142857142857</v>
      </c>
      <c r="M15" s="12" t="str">
        <f aca="false">J34</f>
        <v>K3</v>
      </c>
    </row>
    <row r="17" customFormat="false" ht="15" hidden="false" customHeight="true" outlineLevel="0" collapsed="false">
      <c r="B17" s="7" t="s">
        <v>38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customFormat="false" ht="15" hidden="false" customHeight="false" outlineLevel="0" collapsed="false">
      <c r="B18" s="8" t="s">
        <v>27</v>
      </c>
      <c r="C18" s="8" t="s">
        <v>39</v>
      </c>
      <c r="D18" s="8" t="s">
        <v>40</v>
      </c>
      <c r="E18" s="8" t="s">
        <v>41</v>
      </c>
      <c r="F18" s="8" t="s">
        <v>42</v>
      </c>
      <c r="G18" s="8" t="s">
        <v>43</v>
      </c>
      <c r="H18" s="8" t="s">
        <v>44</v>
      </c>
      <c r="I18" s="8" t="s">
        <v>45</v>
      </c>
      <c r="J18" s="8" t="s">
        <v>46</v>
      </c>
    </row>
    <row r="19" customFormat="false" ht="25.5" hidden="false" customHeight="true" outlineLevel="0" collapsed="false">
      <c r="B19" s="17" t="s">
        <v>47</v>
      </c>
      <c r="C19" s="18" t="n">
        <v>8.5</v>
      </c>
      <c r="D19" s="18" t="n">
        <v>8.25</v>
      </c>
      <c r="E19" s="18" t="n">
        <v>8.5</v>
      </c>
      <c r="F19" s="18" t="n">
        <v>8.5</v>
      </c>
      <c r="G19" s="18" t="n">
        <v>8.75</v>
      </c>
      <c r="H19" s="18" t="n">
        <v>8.25</v>
      </c>
      <c r="I19" s="18" t="n">
        <v>8.25</v>
      </c>
      <c r="J19" s="17" t="s">
        <v>48</v>
      </c>
    </row>
    <row r="20" customFormat="false" ht="25.5" hidden="false" customHeight="true" outlineLevel="0" collapsed="false">
      <c r="B20" s="19" t="s">
        <v>49</v>
      </c>
      <c r="C20" s="20" t="n">
        <v>6.3333</v>
      </c>
      <c r="D20" s="20" t="n">
        <v>6.3333</v>
      </c>
      <c r="E20" s="20" t="n">
        <v>6.6667</v>
      </c>
      <c r="F20" s="20" t="n">
        <v>6.3333</v>
      </c>
      <c r="G20" s="20" t="n">
        <v>6.6667</v>
      </c>
      <c r="H20" s="20" t="n">
        <v>6.3333</v>
      </c>
      <c r="I20" s="20" t="n">
        <v>6.6667</v>
      </c>
      <c r="J20" s="19" t="s">
        <v>50</v>
      </c>
    </row>
    <row r="21" customFormat="false" ht="25.5" hidden="false" customHeight="true" outlineLevel="0" collapsed="false">
      <c r="B21" s="21" t="s">
        <v>51</v>
      </c>
      <c r="C21" s="22" t="n">
        <v>4.6667</v>
      </c>
      <c r="D21" s="22" t="n">
        <v>5</v>
      </c>
      <c r="E21" s="22" t="n">
        <v>4.6667</v>
      </c>
      <c r="F21" s="22" t="n">
        <v>5</v>
      </c>
      <c r="G21" s="22" t="n">
        <v>4.6667</v>
      </c>
      <c r="H21" s="22" t="n">
        <v>5</v>
      </c>
      <c r="I21" s="22" t="n">
        <v>4.6667</v>
      </c>
      <c r="J21" s="21" t="s">
        <v>52</v>
      </c>
    </row>
    <row r="23" customFormat="false" ht="15" hidden="false" customHeight="true" outlineLevel="0" collapsed="false">
      <c r="B23" s="7" t="s">
        <v>53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customFormat="false" ht="25.5" hidden="false" customHeight="true" outlineLevel="0" collapsed="false">
      <c r="B24" s="8" t="s">
        <v>16</v>
      </c>
      <c r="C24" s="8" t="s">
        <v>54</v>
      </c>
      <c r="D24" s="8" t="s">
        <v>55</v>
      </c>
      <c r="E24" s="8" t="s">
        <v>56</v>
      </c>
      <c r="F24" s="8" t="s">
        <v>57</v>
      </c>
      <c r="G24" s="8" t="s">
        <v>58</v>
      </c>
      <c r="H24" s="8" t="s">
        <v>59</v>
      </c>
      <c r="I24" s="8" t="s">
        <v>60</v>
      </c>
      <c r="J24" s="8" t="s">
        <v>61</v>
      </c>
      <c r="K24" s="8" t="s">
        <v>62</v>
      </c>
    </row>
    <row r="25" customFormat="false" ht="25.5" hidden="false" customHeight="true" outlineLevel="0" collapsed="false">
      <c r="B25" s="9" t="n">
        <v>1</v>
      </c>
      <c r="C25" s="5" t="str">
        <f aca="false">'TAHAP 1 – K-MEANS'!C6</f>
        <v>Andi Setiawan</v>
      </c>
      <c r="D25" s="23" t="n">
        <f aca="false">(D6-C19)^2+(D6-D19)^2+(D6-E19)^2+(D6-F19)^2+(D6-G19)^2+(D6-H19)^2+(D6-I19)^2</f>
        <v>1.5</v>
      </c>
      <c r="E25" s="23" t="n">
        <f aca="false">(D6-C20)^2+(D6-D20)^2+(D6-E20)^2+(D6-F20)^2+(D6-G20)^2+(D6-H20)^2+(D6-I20)^2</f>
        <v>16.44462223</v>
      </c>
      <c r="F25" s="23" t="n">
        <f aca="false">(D6-C21)^2+(D6-D21)^2+(D6-E21)^2+(D6-F21)^2+(D6-G21)^2+(D6-H21)^2+(D6-I21)^2</f>
        <v>71.44355556</v>
      </c>
      <c r="G25" s="23" t="n">
        <f aca="false">SQRT(D25)</f>
        <v>1.22474487139159</v>
      </c>
      <c r="H25" s="23" t="n">
        <f aca="false">SQRT(E25)</f>
        <v>4.05519694096353</v>
      </c>
      <c r="I25" s="23" t="n">
        <f aca="false">SQRT(F25)</f>
        <v>8.45242897396955</v>
      </c>
      <c r="J25" s="24" t="str">
        <f aca="false">IF(AND(G25&lt;=H25,G25&lt;=I25),"K1",IF(H25&lt;=I25,"K2","K3"))</f>
        <v>K1</v>
      </c>
      <c r="K25" s="24" t="str">
        <f aca="false">IF(J25="K1","TINGGI",IF(J25="K2","SEDANG","RENDAH"))</f>
        <v>TINGGI</v>
      </c>
    </row>
    <row r="26" customFormat="false" ht="25.5" hidden="false" customHeight="true" outlineLevel="0" collapsed="false">
      <c r="B26" s="13" t="n">
        <v>2</v>
      </c>
      <c r="C26" s="14" t="str">
        <f aca="false">'TAHAP 1 – K-MEANS'!C7</f>
        <v>Budi Santoso</v>
      </c>
      <c r="D26" s="25" t="n">
        <f aca="false">(D7-C19)^2+(D7-D19)^2+(D7-E19)^2+(D7-F19)^2+(D7-G19)^2+(D7-H19)^2+(D7-I19)^2</f>
        <v>82.5</v>
      </c>
      <c r="E26" s="25" t="n">
        <f aca="false">(D7-C20)^2+(D7-D20)^2+(D7-E20)^2+(D7-F20)^2+(D7-G20)^2+(D7-H20)^2+(D7-I20)^2</f>
        <v>15.44442223</v>
      </c>
      <c r="F26" s="25" t="n">
        <f aca="false">(D7-C21)^2+(D7-D21)^2+(D7-E21)^2+(D7-F21)^2+(D7-G21)^2+(D7-H21)^2+(D7-I21)^2</f>
        <v>0.444355560000001</v>
      </c>
      <c r="G26" s="25" t="n">
        <f aca="false">SQRT(D26)</f>
        <v>9.08295106229248</v>
      </c>
      <c r="H26" s="25" t="n">
        <f aca="false">SQRT(E26)</f>
        <v>3.92993921454264</v>
      </c>
      <c r="I26" s="25" t="n">
        <f aca="false">SQRT(F26)</f>
        <v>0.666600000000001</v>
      </c>
      <c r="J26" s="26" t="str">
        <f aca="false">IF(AND(G26&lt;=H26,G26&lt;=I26),"K1",IF(H26&lt;=I26,"K2","K3"))</f>
        <v>K3</v>
      </c>
      <c r="K26" s="26" t="str">
        <f aca="false">IF(J26="K1","TINGGI",IF(J26="K2","SEDANG","RENDAH"))</f>
        <v>RENDAH</v>
      </c>
    </row>
    <row r="27" customFormat="false" ht="23.85" hidden="false" customHeight="false" outlineLevel="0" collapsed="false">
      <c r="B27" s="9" t="n">
        <v>3</v>
      </c>
      <c r="C27" s="5" t="str">
        <f aca="false">'TAHAP 1 – K-MEANS'!C8</f>
        <v>Citra Dewi</v>
      </c>
      <c r="D27" s="23" t="n">
        <f aca="false">(D8-C19)^2+(D8-D19)^2+(D8-E19)^2+(D8-F19)^2+(D8-G19)^2+(D8-H19)^2+(D8-I19)^2</f>
        <v>2.5</v>
      </c>
      <c r="E27" s="23" t="n">
        <f aca="false">(D8-C20)^2+(D8-D20)^2+(D8-E20)^2+(D8-F20)^2+(D8-G20)^2+(D8-H20)^2+(D8-I20)^2</f>
        <v>44.77802223</v>
      </c>
      <c r="F27" s="23" t="n">
        <f aca="false">(D8-C21)^2+(D8-D21)^2+(D8-E21)^2+(D8-F21)^2+(D8-G21)^2+(D8-H21)^2+(D8-I21)^2</f>
        <v>123.10995556</v>
      </c>
      <c r="G27" s="23" t="n">
        <f aca="false">SQRT(D27)</f>
        <v>1.58113883008419</v>
      </c>
      <c r="H27" s="23" t="n">
        <f aca="false">SQRT(E27)</f>
        <v>6.69163823215212</v>
      </c>
      <c r="I27" s="23" t="n">
        <f aca="false">SQRT(F27)</f>
        <v>11.0954925785203</v>
      </c>
      <c r="J27" s="24" t="str">
        <f aca="false">IF(AND(G27&lt;=H27,G27&lt;=I27),"K1",IF(H27&lt;=I27,"K2","K3"))</f>
        <v>K1</v>
      </c>
      <c r="K27" s="24" t="str">
        <f aca="false">IF(J27="K1","TINGGI",IF(J27="K2","SEDANG","RENDAH"))</f>
        <v>TINGGI</v>
      </c>
    </row>
    <row r="28" customFormat="false" ht="23.85" hidden="false" customHeight="false" outlineLevel="0" collapsed="false">
      <c r="B28" s="13" t="n">
        <v>4</v>
      </c>
      <c r="C28" s="14" t="str">
        <f aca="false">'TAHAP 1 – K-MEANS'!C9</f>
        <v>Dian Pratiwi</v>
      </c>
      <c r="D28" s="25" t="n">
        <f aca="false">(D9-C19)^2+(D9-D19)^2+(D9-E19)^2+(D9-F19)^2+(D9-G19)^2+(D9-H19)^2+(D9-I19)^2</f>
        <v>41.5</v>
      </c>
      <c r="E28" s="25" t="n">
        <f aca="false">(D9-C20)^2+(D9-D20)^2+(D9-E20)^2+(D9-F20)^2+(D9-G20)^2+(D9-H20)^2+(D9-I20)^2</f>
        <v>1.77782223</v>
      </c>
      <c r="F28" s="25" t="n">
        <f aca="false">(D9-C21)^2+(D9-D21)^2+(D9-E21)^2+(D9-F21)^2+(D9-G21)^2+(D9-H21)^2+(D9-I21)^2</f>
        <v>10.11075556</v>
      </c>
      <c r="G28" s="25" t="n">
        <f aca="false">SQRT(D28)</f>
        <v>6.44204936336256</v>
      </c>
      <c r="H28" s="25" t="n">
        <f aca="false">SQRT(E28)</f>
        <v>1.33335000281246</v>
      </c>
      <c r="I28" s="25" t="n">
        <f aca="false">SQRT(F28)</f>
        <v>3.17974142973922</v>
      </c>
      <c r="J28" s="26" t="str">
        <f aca="false">IF(AND(G28&lt;=H28,G28&lt;=I28),"K1",IF(H28&lt;=I28,"K2","K3"))</f>
        <v>K2</v>
      </c>
      <c r="K28" s="26" t="str">
        <f aca="false">IF(J28="K1","TINGGI",IF(J28="K2","SEDANG","RENDAH"))</f>
        <v>SEDANG</v>
      </c>
    </row>
    <row r="29" customFormat="false" ht="25.5" hidden="false" customHeight="true" outlineLevel="0" collapsed="false">
      <c r="B29" s="9" t="n">
        <v>5</v>
      </c>
      <c r="C29" s="5" t="str">
        <f aca="false">'TAHAP 1 – K-MEANS'!C10</f>
        <v>Eko Wahyudi</v>
      </c>
      <c r="D29" s="23" t="n">
        <f aca="false">(D10-C19)^2+(D10-D19)^2+(D10-E19)^2+(D10-F19)^2+(D10-G19)^2+(D10-H19)^2+(D10-I19)^2</f>
        <v>14.5</v>
      </c>
      <c r="E29" s="23" t="n">
        <f aca="false">(D10-C20)^2+(D10-D20)^2+(D10-E20)^2+(D10-F20)^2+(D10-G20)^2+(D10-H20)^2+(D10-I20)^2</f>
        <v>2.11122223</v>
      </c>
      <c r="F29" s="23" t="n">
        <f aca="false">(D10-C21)^2+(D10-D21)^2+(D10-E21)^2+(D10-F21)^2+(D10-G21)^2+(D10-H21)^2+(D10-I21)^2</f>
        <v>33.77715556</v>
      </c>
      <c r="G29" s="23" t="n">
        <f aca="false">SQRT(D29)</f>
        <v>3.80788655293195</v>
      </c>
      <c r="H29" s="23" t="n">
        <f aca="false">SQRT(E29)</f>
        <v>1.45300455264256</v>
      </c>
      <c r="I29" s="23" t="n">
        <f aca="false">SQRT(F29)</f>
        <v>5.81181172785217</v>
      </c>
      <c r="J29" s="24" t="str">
        <f aca="false">IF(AND(G29&lt;=H29,G29&lt;=I29),"K1",IF(H29&lt;=I29,"K2","K3"))</f>
        <v>K2</v>
      </c>
      <c r="K29" s="24" t="str">
        <f aca="false">IF(J29="K1","TINGGI",IF(J29="K2","SEDANG","RENDAH"))</f>
        <v>SEDANG</v>
      </c>
    </row>
    <row r="30" customFormat="false" ht="25.5" hidden="false" customHeight="true" outlineLevel="0" collapsed="false">
      <c r="B30" s="13" t="n">
        <v>6</v>
      </c>
      <c r="C30" s="14" t="str">
        <f aca="false">'TAHAP 1 – K-MEANS'!C11</f>
        <v>Fitri Handayani</v>
      </c>
      <c r="D30" s="25" t="n">
        <f aca="false">(D11-C19)^2+(D11-D19)^2+(D11-E19)^2+(D11-F19)^2+(D11-G19)^2+(D11-H19)^2+(D11-I19)^2</f>
        <v>137.5</v>
      </c>
      <c r="E30" s="25" t="n">
        <f aca="false">(D11-C20)^2+(D11-D20)^2+(D11-E20)^2+(D11-F20)^2+(D11-G20)^2+(D11-H20)^2+(D11-I20)^2</f>
        <v>43.11102223</v>
      </c>
      <c r="F30" s="25" t="n">
        <f aca="false">(D11-C21)^2+(D11-D21)^2+(D11-E21)^2+(D11-F21)^2+(D11-G21)^2+(D11-H21)^2+(D11-I21)^2</f>
        <v>4.77795556</v>
      </c>
      <c r="G30" s="25" t="n">
        <f aca="false">SQRT(D30)</f>
        <v>11.7260393995586</v>
      </c>
      <c r="H30" s="25" t="n">
        <f aca="false">SQRT(E30)</f>
        <v>6.56589843281177</v>
      </c>
      <c r="I30" s="25" t="n">
        <f aca="false">SQRT(F30)</f>
        <v>2.18585350835778</v>
      </c>
      <c r="J30" s="26" t="str">
        <f aca="false">IF(AND(G30&lt;=H30,G30&lt;=I30),"K1",IF(H30&lt;=I30,"K2","K3"))</f>
        <v>K3</v>
      </c>
      <c r="K30" s="26" t="str">
        <f aca="false">IF(J30="K1","TINGGI",IF(J30="K2","SEDANG","RENDAH"))</f>
        <v>RENDAH</v>
      </c>
    </row>
    <row r="31" customFormat="false" ht="25.5" hidden="false" customHeight="true" outlineLevel="0" collapsed="false">
      <c r="B31" s="9" t="n">
        <v>7</v>
      </c>
      <c r="C31" s="5" t="str">
        <f aca="false">'TAHAP 1 – K-MEANS'!C12</f>
        <v>Galih Nugroho</v>
      </c>
      <c r="D31" s="23" t="n">
        <f aca="false">(D12-C19)^2+(D12-D19)^2+(D12-E19)^2+(D12-F19)^2+(D12-G19)^2+(D12-H19)^2+(D12-I19)^2</f>
        <v>2.5</v>
      </c>
      <c r="E31" s="23" t="n">
        <f aca="false">(D12-C20)^2+(D12-D20)^2+(D12-E20)^2+(D12-F20)^2+(D12-G20)^2+(D12-H20)^2+(D12-I20)^2</f>
        <v>44.77802223</v>
      </c>
      <c r="F31" s="23" t="n">
        <f aca="false">(D12-C21)^2+(D12-D21)^2+(D12-E21)^2+(D12-F21)^2+(D12-G21)^2+(D12-H21)^2+(D12-I21)^2</f>
        <v>123.10995556</v>
      </c>
      <c r="G31" s="23" t="n">
        <f aca="false">SQRT(D31)</f>
        <v>1.58113883008419</v>
      </c>
      <c r="H31" s="23" t="n">
        <f aca="false">SQRT(E31)</f>
        <v>6.69163823215212</v>
      </c>
      <c r="I31" s="23" t="n">
        <f aca="false">SQRT(F31)</f>
        <v>11.0954925785203</v>
      </c>
      <c r="J31" s="24" t="str">
        <f aca="false">IF(AND(G31&lt;=H31,G31&lt;=I31),"K1",IF(H31&lt;=I31,"K2","K3"))</f>
        <v>K1</v>
      </c>
      <c r="K31" s="24" t="str">
        <f aca="false">IF(J31="K1","TINGGI",IF(J31="K2","SEDANG","RENDAH"))</f>
        <v>TINGGI</v>
      </c>
    </row>
    <row r="32" customFormat="false" ht="23.85" hidden="false" customHeight="false" outlineLevel="0" collapsed="false">
      <c r="B32" s="13" t="n">
        <v>8</v>
      </c>
      <c r="C32" s="14" t="str">
        <f aca="false">'TAHAP 1 – K-MEANS'!C13</f>
        <v>Hana Putri</v>
      </c>
      <c r="D32" s="25" t="n">
        <f aca="false">(D13-C19)^2+(D13-D19)^2+(D13-E19)^2+(D13-F19)^2+(D13-G19)^2+(D13-H19)^2+(D13-I19)^2</f>
        <v>41.5</v>
      </c>
      <c r="E32" s="25" t="n">
        <f aca="false">(D13-C20)^2+(D13-D20)^2+(D13-E20)^2+(D13-F20)^2+(D13-G20)^2+(D13-H20)^2+(D13-I20)^2</f>
        <v>1.77782223</v>
      </c>
      <c r="F32" s="25" t="n">
        <f aca="false">(D13-C21)^2+(D13-D21)^2+(D13-E21)^2+(D13-F21)^2+(D13-G21)^2+(D13-H21)^2+(D13-I21)^2</f>
        <v>10.11075556</v>
      </c>
      <c r="G32" s="25" t="n">
        <f aca="false">SQRT(D32)</f>
        <v>6.44204936336256</v>
      </c>
      <c r="H32" s="25" t="n">
        <f aca="false">SQRT(E32)</f>
        <v>1.33335000281246</v>
      </c>
      <c r="I32" s="25" t="n">
        <f aca="false">SQRT(F32)</f>
        <v>3.17974142973922</v>
      </c>
      <c r="J32" s="26" t="str">
        <f aca="false">IF(AND(G32&lt;=H32,G32&lt;=I32),"K1",IF(H32&lt;=I32,"K2","K3"))</f>
        <v>K2</v>
      </c>
      <c r="K32" s="26" t="str">
        <f aca="false">IF(J32="K1","TINGGI",IF(J32="K2","SEDANG","RENDAH"))</f>
        <v>SEDANG</v>
      </c>
    </row>
    <row r="33" customFormat="false" ht="25.5" hidden="false" customHeight="true" outlineLevel="0" collapsed="false">
      <c r="B33" s="9" t="n">
        <v>9</v>
      </c>
      <c r="C33" s="5" t="str">
        <f aca="false">'TAHAP 1 – K-MEANS'!C14</f>
        <v>Indra Kusuma</v>
      </c>
      <c r="D33" s="23" t="n">
        <f aca="false">(D14-C19)^2+(D14-D19)^2+(D14-E19)^2+(D14-F19)^2+(D14-G19)^2+(D14-H19)^2+(D14-I19)^2</f>
        <v>1.5</v>
      </c>
      <c r="E33" s="23" t="n">
        <f aca="false">(D14-C20)^2+(D14-D20)^2+(D14-E20)^2+(D14-F20)^2+(D14-G20)^2+(D14-H20)^2+(D14-I20)^2</f>
        <v>16.44462223</v>
      </c>
      <c r="F33" s="23" t="n">
        <f aca="false">(D14-C21)^2+(D14-D21)^2+(D14-E21)^2+(D14-F21)^2+(D14-G21)^2+(D14-H21)^2+(D14-I21)^2</f>
        <v>71.44355556</v>
      </c>
      <c r="G33" s="23" t="n">
        <f aca="false">SQRT(D33)</f>
        <v>1.22474487139159</v>
      </c>
      <c r="H33" s="23" t="n">
        <f aca="false">SQRT(E33)</f>
        <v>4.05519694096353</v>
      </c>
      <c r="I33" s="23" t="n">
        <f aca="false">SQRT(F33)</f>
        <v>8.45242897396955</v>
      </c>
      <c r="J33" s="24" t="str">
        <f aca="false">IF(AND(G33&lt;=H33,G33&lt;=I33),"K1",IF(H33&lt;=I33,"K2","K3"))</f>
        <v>K1</v>
      </c>
      <c r="K33" s="24" t="str">
        <f aca="false">IF(J33="K1","TINGGI",IF(J33="K2","SEDANG","RENDAH"))</f>
        <v>TINGGI</v>
      </c>
    </row>
    <row r="34" customFormat="false" ht="25.5" hidden="false" customHeight="true" outlineLevel="0" collapsed="false">
      <c r="B34" s="13" t="n">
        <v>10</v>
      </c>
      <c r="C34" s="14" t="str">
        <f aca="false">'TAHAP 1 – K-MEANS'!C15</f>
        <v>Joko Purnomo</v>
      </c>
      <c r="D34" s="25" t="n">
        <f aca="false">(D15-C19)^2+(D15-D19)^2+(D15-E19)^2+(D15-F19)^2+(D15-G19)^2+(D15-H19)^2+(D15-I19)^2</f>
        <v>82.5</v>
      </c>
      <c r="E34" s="25" t="n">
        <f aca="false">(D15-C20)^2+(D15-D20)^2+(D15-E20)^2+(D15-F20)^2+(D15-G20)^2+(D15-H20)^2+(D15-I20)^2</f>
        <v>15.44442223</v>
      </c>
      <c r="F34" s="25" t="n">
        <f aca="false">(D15-C21)^2+(D15-D21)^2+(D15-E21)^2+(D15-F21)^2+(D15-G21)^2+(D15-H21)^2+(D15-I21)^2</f>
        <v>0.444355560000001</v>
      </c>
      <c r="G34" s="25" t="n">
        <f aca="false">SQRT(D34)</f>
        <v>9.08295106229248</v>
      </c>
      <c r="H34" s="25" t="n">
        <f aca="false">SQRT(E34)</f>
        <v>3.92993921454264</v>
      </c>
      <c r="I34" s="25" t="n">
        <f aca="false">SQRT(F34)</f>
        <v>0.666600000000001</v>
      </c>
      <c r="J34" s="26" t="str">
        <f aca="false">IF(AND(G34&lt;=H34,G34&lt;=I34),"K1",IF(H34&lt;=I34,"K2","K3"))</f>
        <v>K3</v>
      </c>
      <c r="K34" s="26" t="str">
        <f aca="false">IF(J34="K1","TINGGI",IF(J34="K2","SEDANG","RENDAH"))</f>
        <v>RENDAH</v>
      </c>
    </row>
    <row r="36" customFormat="false" ht="21.75" hidden="false" customHeight="true" outlineLevel="0" collapsed="false">
      <c r="B36" s="27" t="s">
        <v>63</v>
      </c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8" customFormat="false" ht="15" hidden="false" customHeight="false" outlineLevel="0" collapsed="false">
      <c r="A38" s="28" t="s">
        <v>64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</row>
    <row r="39" customFormat="false" ht="15" hidden="false" customHeight="false" outlineLevel="0" collapsed="false">
      <c r="A39" s="29" t="s">
        <v>65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customFormat="false" ht="15" hidden="false" customHeight="false" outlineLevel="0" collapsed="false">
      <c r="A40" s="30" t="s">
        <v>66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</row>
    <row r="41" customFormat="false" ht="15" hidden="false" customHeight="false" outlineLevel="0" collapsed="false">
      <c r="A41" s="31" t="s">
        <v>27</v>
      </c>
      <c r="B41" s="31" t="s">
        <v>67</v>
      </c>
      <c r="C41" s="31" t="s">
        <v>39</v>
      </c>
      <c r="D41" s="31" t="s">
        <v>40</v>
      </c>
      <c r="E41" s="31" t="s">
        <v>41</v>
      </c>
      <c r="F41" s="31" t="s">
        <v>42</v>
      </c>
      <c r="G41" s="31" t="s">
        <v>43</v>
      </c>
      <c r="H41" s="31" t="s">
        <v>44</v>
      </c>
      <c r="I41" s="31" t="s">
        <v>45</v>
      </c>
    </row>
    <row r="42" customFormat="false" ht="15" hidden="false" customHeight="false" outlineLevel="0" collapsed="false">
      <c r="A42" s="32" t="s">
        <v>68</v>
      </c>
      <c r="B42" s="33" t="s">
        <v>30</v>
      </c>
      <c r="C42" s="34" t="n">
        <v>9</v>
      </c>
      <c r="D42" s="34" t="n">
        <v>9</v>
      </c>
      <c r="E42" s="34" t="n">
        <v>8</v>
      </c>
      <c r="F42" s="34" t="n">
        <v>9</v>
      </c>
      <c r="G42" s="34" t="n">
        <v>9</v>
      </c>
      <c r="H42" s="34" t="n">
        <v>8</v>
      </c>
      <c r="I42" s="34" t="n">
        <v>9</v>
      </c>
    </row>
    <row r="43" customFormat="false" ht="15" hidden="false" customHeight="false" outlineLevel="0" collapsed="false">
      <c r="A43" s="35" t="s">
        <v>69</v>
      </c>
      <c r="B43" s="36" t="s">
        <v>35</v>
      </c>
      <c r="C43" s="37" t="n">
        <v>6</v>
      </c>
      <c r="D43" s="37" t="n">
        <v>6</v>
      </c>
      <c r="E43" s="37" t="n">
        <v>7</v>
      </c>
      <c r="F43" s="37" t="n">
        <v>6</v>
      </c>
      <c r="G43" s="37" t="n">
        <v>7</v>
      </c>
      <c r="H43" s="37" t="n">
        <v>6</v>
      </c>
      <c r="I43" s="37" t="n">
        <v>7</v>
      </c>
    </row>
    <row r="44" customFormat="false" ht="15" hidden="false" customHeight="false" outlineLevel="0" collapsed="false">
      <c r="A44" s="38" t="s">
        <v>70</v>
      </c>
      <c r="B44" s="39" t="s">
        <v>33</v>
      </c>
      <c r="C44" s="40" t="n">
        <v>4</v>
      </c>
      <c r="D44" s="40" t="n">
        <v>5</v>
      </c>
      <c r="E44" s="40" t="n">
        <v>4</v>
      </c>
      <c r="F44" s="40" t="n">
        <v>5</v>
      </c>
      <c r="G44" s="40" t="n">
        <v>4</v>
      </c>
      <c r="H44" s="40" t="n">
        <v>5</v>
      </c>
      <c r="I44" s="40" t="n">
        <v>4</v>
      </c>
    </row>
    <row r="46" customFormat="false" ht="15" hidden="false" customHeight="false" outlineLevel="0" collapsed="false">
      <c r="A46" s="41" t="s">
        <v>71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</row>
    <row r="47" customFormat="false" ht="15" hidden="false" customHeight="false" outlineLevel="0" collapsed="false">
      <c r="A47" s="42" t="s">
        <v>27</v>
      </c>
      <c r="B47" s="42" t="s">
        <v>72</v>
      </c>
      <c r="C47" s="42" t="s">
        <v>39</v>
      </c>
      <c r="D47" s="42" t="s">
        <v>40</v>
      </c>
      <c r="E47" s="42" t="s">
        <v>41</v>
      </c>
      <c r="F47" s="42" t="s">
        <v>42</v>
      </c>
      <c r="G47" s="42" t="s">
        <v>43</v>
      </c>
      <c r="H47" s="42" t="s">
        <v>44</v>
      </c>
      <c r="I47" s="42" t="s">
        <v>45</v>
      </c>
      <c r="J47" s="42" t="s">
        <v>26</v>
      </c>
    </row>
    <row r="48" customFormat="false" ht="28.35" hidden="false" customHeight="false" outlineLevel="0" collapsed="false">
      <c r="A48" s="43" t="s">
        <v>73</v>
      </c>
      <c r="B48" s="44" t="s">
        <v>74</v>
      </c>
      <c r="C48" s="43" t="n">
        <v>8.5</v>
      </c>
      <c r="D48" s="43" t="n">
        <v>8.25</v>
      </c>
      <c r="E48" s="43" t="n">
        <v>8.5</v>
      </c>
      <c r="F48" s="43" t="n">
        <v>8.5</v>
      </c>
      <c r="G48" s="43" t="n">
        <v>8.75</v>
      </c>
      <c r="H48" s="43" t="n">
        <v>8.25</v>
      </c>
      <c r="I48" s="43" t="n">
        <v>8.25</v>
      </c>
      <c r="J48" s="45" t="n">
        <f aca="false">AVERAGE(C48:I48)</f>
        <v>8.42857142857143</v>
      </c>
    </row>
    <row r="49" customFormat="false" ht="19.4" hidden="false" customHeight="false" outlineLevel="0" collapsed="false">
      <c r="A49" s="46" t="s">
        <v>75</v>
      </c>
      <c r="B49" s="47" t="s">
        <v>76</v>
      </c>
      <c r="C49" s="46" t="n">
        <v>6.3333</v>
      </c>
      <c r="D49" s="46" t="n">
        <v>6.3333</v>
      </c>
      <c r="E49" s="46" t="n">
        <v>6.6667</v>
      </c>
      <c r="F49" s="46" t="n">
        <v>6.3333</v>
      </c>
      <c r="G49" s="46" t="n">
        <v>6.6667</v>
      </c>
      <c r="H49" s="46" t="n">
        <v>6.3333</v>
      </c>
      <c r="I49" s="46" t="n">
        <v>6.6667</v>
      </c>
      <c r="J49" s="48" t="n">
        <f aca="false">AVERAGE(C49:I49)</f>
        <v>6.47618571428571</v>
      </c>
    </row>
    <row r="50" customFormat="false" ht="28.35" hidden="false" customHeight="false" outlineLevel="0" collapsed="false">
      <c r="A50" s="49" t="s">
        <v>77</v>
      </c>
      <c r="B50" s="50" t="s">
        <v>78</v>
      </c>
      <c r="C50" s="49" t="n">
        <v>4.6667</v>
      </c>
      <c r="D50" s="49" t="n">
        <v>5</v>
      </c>
      <c r="E50" s="49" t="n">
        <v>4.6667</v>
      </c>
      <c r="F50" s="49" t="n">
        <v>5</v>
      </c>
      <c r="G50" s="49" t="n">
        <v>4.6667</v>
      </c>
      <c r="H50" s="49" t="n">
        <v>5</v>
      </c>
      <c r="I50" s="49" t="n">
        <v>4.6667</v>
      </c>
      <c r="J50" s="51" t="n">
        <f aca="false">AVERAGE(C50:I50)</f>
        <v>4.80954285714286</v>
      </c>
    </row>
    <row r="52" customFormat="false" ht="15" hidden="false" customHeight="false" outlineLevel="0" collapsed="false">
      <c r="A52" s="52" t="s">
        <v>79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</row>
    <row r="53" customFormat="false" ht="15" hidden="false" customHeight="false" outlineLevel="0" collapsed="false">
      <c r="A53" s="53" t="s">
        <v>27</v>
      </c>
      <c r="B53" s="53" t="s">
        <v>72</v>
      </c>
      <c r="C53" s="53" t="s">
        <v>39</v>
      </c>
      <c r="D53" s="53" t="s">
        <v>40</v>
      </c>
      <c r="E53" s="53" t="s">
        <v>41</v>
      </c>
      <c r="F53" s="53" t="s">
        <v>42</v>
      </c>
      <c r="G53" s="53" t="s">
        <v>43</v>
      </c>
      <c r="H53" s="53" t="s">
        <v>44</v>
      </c>
      <c r="I53" s="53" t="s">
        <v>45</v>
      </c>
      <c r="J53" s="53" t="s">
        <v>26</v>
      </c>
    </row>
    <row r="54" customFormat="false" ht="28.35" hidden="false" customHeight="false" outlineLevel="0" collapsed="false">
      <c r="A54" s="43" t="s">
        <v>73</v>
      </c>
      <c r="B54" s="44" t="s">
        <v>74</v>
      </c>
      <c r="C54" s="43" t="n">
        <v>8.5</v>
      </c>
      <c r="D54" s="43" t="n">
        <v>8.25</v>
      </c>
      <c r="E54" s="43" t="n">
        <v>8.5</v>
      </c>
      <c r="F54" s="43" t="n">
        <v>8.5</v>
      </c>
      <c r="G54" s="43" t="n">
        <v>8.75</v>
      </c>
      <c r="H54" s="43" t="n">
        <v>8.25</v>
      </c>
      <c r="I54" s="43" t="n">
        <v>8.25</v>
      </c>
      <c r="J54" s="45" t="n">
        <f aca="false">AVERAGE(C54:I54)</f>
        <v>8.42857142857143</v>
      </c>
    </row>
    <row r="55" customFormat="false" ht="19.4" hidden="false" customHeight="false" outlineLevel="0" collapsed="false">
      <c r="A55" s="46" t="s">
        <v>75</v>
      </c>
      <c r="B55" s="47" t="s">
        <v>76</v>
      </c>
      <c r="C55" s="46" t="n">
        <v>6.3333</v>
      </c>
      <c r="D55" s="46" t="n">
        <v>6.3333</v>
      </c>
      <c r="E55" s="46" t="n">
        <v>6.6667</v>
      </c>
      <c r="F55" s="46" t="n">
        <v>6.3333</v>
      </c>
      <c r="G55" s="46" t="n">
        <v>6.6667</v>
      </c>
      <c r="H55" s="46" t="n">
        <v>6.3333</v>
      </c>
      <c r="I55" s="46" t="n">
        <v>6.6667</v>
      </c>
      <c r="J55" s="48" t="n">
        <f aca="false">AVERAGE(C55:I55)</f>
        <v>6.47618571428571</v>
      </c>
    </row>
    <row r="56" customFormat="false" ht="28.35" hidden="false" customHeight="false" outlineLevel="0" collapsed="false">
      <c r="A56" s="49" t="s">
        <v>77</v>
      </c>
      <c r="B56" s="50" t="s">
        <v>78</v>
      </c>
      <c r="C56" s="49" t="n">
        <v>4.6667</v>
      </c>
      <c r="D56" s="49" t="n">
        <v>5</v>
      </c>
      <c r="E56" s="49" t="n">
        <v>4.6667</v>
      </c>
      <c r="F56" s="49" t="n">
        <v>5</v>
      </c>
      <c r="G56" s="49" t="n">
        <v>4.6667</v>
      </c>
      <c r="H56" s="49" t="n">
        <v>5</v>
      </c>
      <c r="I56" s="49" t="n">
        <v>4.6667</v>
      </c>
      <c r="J56" s="51" t="n">
        <f aca="false">AVERAGE(C56:I56)</f>
        <v>4.80954285714286</v>
      </c>
    </row>
    <row r="58" customFormat="false" ht="15" hidden="false" customHeight="false" outlineLevel="0" collapsed="false">
      <c r="A58" s="28" t="s">
        <v>80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customFormat="false" ht="15" hidden="false" customHeight="false" outlineLevel="0" collapsed="false">
      <c r="A59" s="54" t="s">
        <v>16</v>
      </c>
      <c r="B59" s="54" t="s">
        <v>17</v>
      </c>
      <c r="C59" s="54" t="s">
        <v>39</v>
      </c>
      <c r="D59" s="54" t="s">
        <v>40</v>
      </c>
      <c r="E59" s="54" t="s">
        <v>41</v>
      </c>
      <c r="F59" s="54" t="s">
        <v>42</v>
      </c>
      <c r="G59" s="54" t="s">
        <v>43</v>
      </c>
      <c r="H59" s="54" t="s">
        <v>44</v>
      </c>
      <c r="I59" s="54" t="s">
        <v>45</v>
      </c>
      <c r="J59" s="54" t="s">
        <v>81</v>
      </c>
      <c r="K59" s="54" t="s">
        <v>82</v>
      </c>
      <c r="L59" s="54" t="s">
        <v>83</v>
      </c>
      <c r="M59" s="54" t="s">
        <v>58</v>
      </c>
      <c r="N59" s="54" t="s">
        <v>59</v>
      </c>
      <c r="O59" s="54" t="s">
        <v>60</v>
      </c>
      <c r="P59" s="54" t="s">
        <v>27</v>
      </c>
      <c r="Q59" s="54" t="s">
        <v>46</v>
      </c>
    </row>
    <row r="60" customFormat="false" ht="15" hidden="false" customHeight="false" outlineLevel="0" collapsed="false">
      <c r="A60" s="55" t="n">
        <v>1</v>
      </c>
      <c r="B60" s="55" t="s">
        <v>28</v>
      </c>
      <c r="C60" s="55" t="n">
        <v>8</v>
      </c>
      <c r="D60" s="55" t="n">
        <v>7</v>
      </c>
      <c r="E60" s="55" t="n">
        <v>9</v>
      </c>
      <c r="F60" s="55" t="n">
        <v>8</v>
      </c>
      <c r="G60" s="55" t="n">
        <v>9</v>
      </c>
      <c r="H60" s="55" t="n">
        <v>7</v>
      </c>
      <c r="I60" s="55" t="n">
        <v>8</v>
      </c>
      <c r="J60" s="55" t="n">
        <v>4</v>
      </c>
      <c r="K60" s="55" t="n">
        <v>19.111</v>
      </c>
      <c r="L60" s="55" t="n">
        <v>76.7768</v>
      </c>
      <c r="M60" s="55" t="n">
        <v>2</v>
      </c>
      <c r="N60" s="55" t="n">
        <v>4.3716</v>
      </c>
      <c r="O60" s="55" t="n">
        <v>8.7622</v>
      </c>
      <c r="P60" s="43" t="s">
        <v>73</v>
      </c>
      <c r="Q60" s="43" t="s">
        <v>84</v>
      </c>
    </row>
    <row r="61" customFormat="false" ht="15" hidden="false" customHeight="false" outlineLevel="0" collapsed="false">
      <c r="A61" s="56" t="n">
        <v>2</v>
      </c>
      <c r="B61" s="56" t="s">
        <v>29</v>
      </c>
      <c r="C61" s="56" t="n">
        <v>5</v>
      </c>
      <c r="D61" s="56" t="n">
        <v>6</v>
      </c>
      <c r="E61" s="56" t="n">
        <v>5</v>
      </c>
      <c r="F61" s="56" t="n">
        <v>6</v>
      </c>
      <c r="G61" s="56" t="n">
        <v>5</v>
      </c>
      <c r="H61" s="56" t="n">
        <v>6</v>
      </c>
      <c r="I61" s="56" t="n">
        <v>5</v>
      </c>
      <c r="J61" s="56" t="n">
        <v>65.5</v>
      </c>
      <c r="K61" s="56" t="n">
        <v>10.4446</v>
      </c>
      <c r="L61" s="56" t="n">
        <v>3.4444</v>
      </c>
      <c r="M61" s="56" t="n">
        <v>8.0932</v>
      </c>
      <c r="N61" s="56" t="n">
        <v>3.2318</v>
      </c>
      <c r="O61" s="56" t="n">
        <v>1.8559</v>
      </c>
      <c r="P61" s="49" t="s">
        <v>77</v>
      </c>
      <c r="Q61" s="49" t="s">
        <v>85</v>
      </c>
    </row>
    <row r="62" customFormat="false" ht="15" hidden="false" customHeight="false" outlineLevel="0" collapsed="false">
      <c r="A62" s="55" t="n">
        <v>3</v>
      </c>
      <c r="B62" s="55" t="s">
        <v>30</v>
      </c>
      <c r="C62" s="55" t="n">
        <v>9</v>
      </c>
      <c r="D62" s="55" t="n">
        <v>9</v>
      </c>
      <c r="E62" s="55" t="n">
        <v>8</v>
      </c>
      <c r="F62" s="55" t="n">
        <v>9</v>
      </c>
      <c r="G62" s="55" t="n">
        <v>9</v>
      </c>
      <c r="H62" s="55" t="n">
        <v>8</v>
      </c>
      <c r="I62" s="55" t="n">
        <v>9</v>
      </c>
      <c r="J62" s="55" t="n">
        <v>2</v>
      </c>
      <c r="K62" s="55" t="n">
        <v>36.778</v>
      </c>
      <c r="L62" s="55" t="n">
        <v>108.4434</v>
      </c>
      <c r="M62" s="55" t="n">
        <v>1.4142</v>
      </c>
      <c r="N62" s="55" t="n">
        <v>6.0645</v>
      </c>
      <c r="O62" s="55" t="n">
        <v>10.4136</v>
      </c>
      <c r="P62" s="43" t="s">
        <v>73</v>
      </c>
      <c r="Q62" s="43" t="s">
        <v>84</v>
      </c>
    </row>
    <row r="63" customFormat="false" ht="15" hidden="false" customHeight="false" outlineLevel="0" collapsed="false">
      <c r="A63" s="57" t="n">
        <v>4</v>
      </c>
      <c r="B63" s="57" t="s">
        <v>31</v>
      </c>
      <c r="C63" s="57" t="n">
        <v>6</v>
      </c>
      <c r="D63" s="57" t="n">
        <v>5</v>
      </c>
      <c r="E63" s="57" t="n">
        <v>6</v>
      </c>
      <c r="F63" s="57" t="n">
        <v>5</v>
      </c>
      <c r="G63" s="57" t="n">
        <v>6</v>
      </c>
      <c r="H63" s="57" t="n">
        <v>5</v>
      </c>
      <c r="I63" s="57" t="n">
        <v>6</v>
      </c>
      <c r="J63" s="57" t="n">
        <v>58.5</v>
      </c>
      <c r="K63" s="57" t="n">
        <v>6.7776</v>
      </c>
      <c r="L63" s="57" t="n">
        <v>7.1108</v>
      </c>
      <c r="M63" s="57" t="n">
        <v>7.6485</v>
      </c>
      <c r="N63" s="57" t="n">
        <v>2.6034</v>
      </c>
      <c r="O63" s="57" t="n">
        <v>2.6666</v>
      </c>
      <c r="P63" s="46" t="s">
        <v>75</v>
      </c>
      <c r="Q63" s="46" t="s">
        <v>86</v>
      </c>
    </row>
    <row r="64" customFormat="false" ht="15" hidden="false" customHeight="false" outlineLevel="0" collapsed="false">
      <c r="A64" s="57" t="n">
        <v>5</v>
      </c>
      <c r="B64" s="57" t="s">
        <v>32</v>
      </c>
      <c r="C64" s="57" t="n">
        <v>7</v>
      </c>
      <c r="D64" s="57" t="n">
        <v>8</v>
      </c>
      <c r="E64" s="57" t="n">
        <v>7</v>
      </c>
      <c r="F64" s="57" t="n">
        <v>8</v>
      </c>
      <c r="G64" s="57" t="n">
        <v>7</v>
      </c>
      <c r="H64" s="57" t="n">
        <v>8</v>
      </c>
      <c r="I64" s="57" t="n">
        <v>7</v>
      </c>
      <c r="J64" s="57" t="n">
        <v>9.5</v>
      </c>
      <c r="K64" s="57" t="n">
        <v>9.1114</v>
      </c>
      <c r="L64" s="57" t="n">
        <v>48.7772</v>
      </c>
      <c r="M64" s="57" t="n">
        <v>3.0822</v>
      </c>
      <c r="N64" s="57" t="n">
        <v>3.0185</v>
      </c>
      <c r="O64" s="57" t="n">
        <v>6.9841</v>
      </c>
      <c r="P64" s="46" t="s">
        <v>75</v>
      </c>
      <c r="Q64" s="46" t="s">
        <v>86</v>
      </c>
    </row>
    <row r="65" customFormat="false" ht="15" hidden="false" customHeight="false" outlineLevel="0" collapsed="false">
      <c r="A65" s="56" t="n">
        <v>6</v>
      </c>
      <c r="B65" s="56" t="s">
        <v>33</v>
      </c>
      <c r="C65" s="56" t="n">
        <v>4</v>
      </c>
      <c r="D65" s="56" t="n">
        <v>5</v>
      </c>
      <c r="E65" s="56" t="n">
        <v>4</v>
      </c>
      <c r="F65" s="56" t="n">
        <v>5</v>
      </c>
      <c r="G65" s="56" t="n">
        <v>4</v>
      </c>
      <c r="H65" s="56" t="n">
        <v>5</v>
      </c>
      <c r="I65" s="56" t="n">
        <v>4</v>
      </c>
      <c r="J65" s="56" t="n">
        <v>114.5</v>
      </c>
      <c r="K65" s="56" t="n">
        <v>32.1112</v>
      </c>
      <c r="L65" s="56" t="n">
        <v>1.778</v>
      </c>
      <c r="M65" s="56" t="n">
        <v>10.7005</v>
      </c>
      <c r="N65" s="56" t="n">
        <v>5.6667</v>
      </c>
      <c r="O65" s="56" t="n">
        <v>1.3334</v>
      </c>
      <c r="P65" s="49" t="s">
        <v>77</v>
      </c>
      <c r="Q65" s="49" t="s">
        <v>85</v>
      </c>
    </row>
    <row r="66" customFormat="false" ht="15" hidden="false" customHeight="false" outlineLevel="0" collapsed="false">
      <c r="A66" s="55" t="n">
        <v>7</v>
      </c>
      <c r="B66" s="55" t="s">
        <v>34</v>
      </c>
      <c r="C66" s="55" t="n">
        <v>9</v>
      </c>
      <c r="D66" s="55" t="n">
        <v>8</v>
      </c>
      <c r="E66" s="55" t="n">
        <v>9</v>
      </c>
      <c r="F66" s="55" t="n">
        <v>9</v>
      </c>
      <c r="G66" s="55" t="n">
        <v>8</v>
      </c>
      <c r="H66" s="55" t="n">
        <v>9</v>
      </c>
      <c r="I66" s="55" t="n">
        <v>8</v>
      </c>
      <c r="J66" s="55" t="n">
        <v>2</v>
      </c>
      <c r="K66" s="55" t="n">
        <v>33.1114</v>
      </c>
      <c r="L66" s="55" t="n">
        <v>100.7768</v>
      </c>
      <c r="M66" s="55" t="n">
        <v>1.4142</v>
      </c>
      <c r="N66" s="55" t="n">
        <v>5.7543</v>
      </c>
      <c r="O66" s="55" t="n">
        <v>10.0388</v>
      </c>
      <c r="P66" s="43" t="s">
        <v>73</v>
      </c>
      <c r="Q66" s="43" t="s">
        <v>84</v>
      </c>
    </row>
    <row r="67" customFormat="false" ht="15" hidden="false" customHeight="false" outlineLevel="0" collapsed="false">
      <c r="A67" s="57" t="n">
        <v>8</v>
      </c>
      <c r="B67" s="57" t="s">
        <v>35</v>
      </c>
      <c r="C67" s="57" t="n">
        <v>6</v>
      </c>
      <c r="D67" s="57" t="n">
        <v>6</v>
      </c>
      <c r="E67" s="57" t="n">
        <v>7</v>
      </c>
      <c r="F67" s="57" t="n">
        <v>6</v>
      </c>
      <c r="G67" s="57" t="n">
        <v>7</v>
      </c>
      <c r="H67" s="57" t="n">
        <v>6</v>
      </c>
      <c r="I67" s="57" t="n">
        <v>7</v>
      </c>
      <c r="J67" s="57" t="n">
        <v>29.5</v>
      </c>
      <c r="K67" s="57" t="n">
        <v>0.7776</v>
      </c>
      <c r="L67" s="57" t="n">
        <v>21.1106</v>
      </c>
      <c r="M67" s="57" t="n">
        <v>5.4314</v>
      </c>
      <c r="N67" s="57" t="n">
        <v>0.8818</v>
      </c>
      <c r="O67" s="57" t="n">
        <v>4.5946</v>
      </c>
      <c r="P67" s="46" t="s">
        <v>75</v>
      </c>
      <c r="Q67" s="46" t="s">
        <v>86</v>
      </c>
    </row>
    <row r="68" customFormat="false" ht="15" hidden="false" customHeight="false" outlineLevel="0" collapsed="false">
      <c r="A68" s="55" t="n">
        <v>9</v>
      </c>
      <c r="B68" s="55" t="s">
        <v>36</v>
      </c>
      <c r="C68" s="55" t="n">
        <v>8</v>
      </c>
      <c r="D68" s="55" t="n">
        <v>9</v>
      </c>
      <c r="E68" s="55" t="n">
        <v>8</v>
      </c>
      <c r="F68" s="55" t="n">
        <v>8</v>
      </c>
      <c r="G68" s="55" t="n">
        <v>9</v>
      </c>
      <c r="H68" s="55" t="n">
        <v>9</v>
      </c>
      <c r="I68" s="55" t="n">
        <v>8</v>
      </c>
      <c r="J68" s="55" t="n">
        <v>2</v>
      </c>
      <c r="K68" s="55" t="n">
        <v>28.778</v>
      </c>
      <c r="L68" s="55" t="n">
        <v>93.1102</v>
      </c>
      <c r="M68" s="55" t="n">
        <v>1.4142</v>
      </c>
      <c r="N68" s="55" t="n">
        <v>5.3645</v>
      </c>
      <c r="O68" s="55" t="n">
        <v>9.6494</v>
      </c>
      <c r="P68" s="43" t="s">
        <v>73</v>
      </c>
      <c r="Q68" s="43" t="s">
        <v>84</v>
      </c>
    </row>
    <row r="69" customFormat="false" ht="15" hidden="false" customHeight="false" outlineLevel="0" collapsed="false">
      <c r="A69" s="56" t="n">
        <v>10</v>
      </c>
      <c r="B69" s="56" t="s">
        <v>37</v>
      </c>
      <c r="C69" s="56" t="n">
        <v>5</v>
      </c>
      <c r="D69" s="56" t="n">
        <v>4</v>
      </c>
      <c r="E69" s="56" t="n">
        <v>5</v>
      </c>
      <c r="F69" s="56" t="n">
        <v>4</v>
      </c>
      <c r="G69" s="56" t="n">
        <v>5</v>
      </c>
      <c r="H69" s="56" t="n">
        <v>4</v>
      </c>
      <c r="I69" s="56" t="n">
        <v>5</v>
      </c>
      <c r="J69" s="56" t="n">
        <v>105.5</v>
      </c>
      <c r="K69" s="56" t="n">
        <v>26.4442</v>
      </c>
      <c r="L69" s="56" t="n">
        <v>3.4444</v>
      </c>
      <c r="M69" s="56" t="n">
        <v>10.2713</v>
      </c>
      <c r="N69" s="56" t="n">
        <v>5.1424</v>
      </c>
      <c r="O69" s="56" t="n">
        <v>1.8559</v>
      </c>
      <c r="P69" s="49" t="s">
        <v>77</v>
      </c>
      <c r="Q69" s="49" t="s">
        <v>85</v>
      </c>
    </row>
    <row r="71" customFormat="false" ht="15" hidden="false" customHeight="false" outlineLevel="0" collapsed="false">
      <c r="A71" s="58" t="s">
        <v>87</v>
      </c>
      <c r="B71" s="58"/>
      <c r="C71" s="58"/>
      <c r="D71" s="58"/>
    </row>
  </sheetData>
  <mergeCells count="13">
    <mergeCell ref="B1:N1"/>
    <mergeCell ref="B2:N2"/>
    <mergeCell ref="B4:N4"/>
    <mergeCell ref="B17:N17"/>
    <mergeCell ref="B23:N23"/>
    <mergeCell ref="B36:N36"/>
    <mergeCell ref="A38:L38"/>
    <mergeCell ref="A39:L39"/>
    <mergeCell ref="A40:L40"/>
    <mergeCell ref="A46:L46"/>
    <mergeCell ref="A52:L52"/>
    <mergeCell ref="A58:L58"/>
    <mergeCell ref="A71:D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3"/>
  <sheetViews>
    <sheetView showFormulas="false" showGridLines="fals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C28" activeCellId="0" sqref="C2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9" min="3" style="0" width="12"/>
    <col collapsed="false" customWidth="true" hidden="false" outlineLevel="0" max="11" min="10" style="0" width="14"/>
  </cols>
  <sheetData>
    <row r="1" customFormat="false" ht="15" hidden="false" customHeight="true" outlineLevel="0" collapsed="false">
      <c r="B1" s="6" t="s">
        <v>88</v>
      </c>
      <c r="C1" s="6"/>
      <c r="D1" s="6"/>
      <c r="E1" s="6"/>
      <c r="F1" s="6"/>
      <c r="G1" s="6"/>
      <c r="H1" s="6"/>
      <c r="I1" s="6"/>
      <c r="J1" s="6"/>
      <c r="K1" s="6"/>
    </row>
    <row r="2" customFormat="false" ht="15" hidden="false" customHeight="true" outlineLevel="0" collapsed="false">
      <c r="B2" s="2" t="s">
        <v>89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true" outlineLevel="0" collapsed="false">
      <c r="B4" s="7" t="s">
        <v>90</v>
      </c>
      <c r="C4" s="7"/>
      <c r="D4" s="7"/>
      <c r="E4" s="7"/>
      <c r="F4" s="7"/>
      <c r="G4" s="7"/>
      <c r="H4" s="7"/>
      <c r="I4" s="7"/>
      <c r="J4" s="7"/>
      <c r="K4" s="7"/>
    </row>
    <row r="5" customFormat="false" ht="36" hidden="false" customHeight="true" outlineLevel="0" collapsed="false">
      <c r="B5" s="8" t="s">
        <v>91</v>
      </c>
      <c r="C5" s="59" t="s">
        <v>92</v>
      </c>
      <c r="D5" s="59" t="s">
        <v>93</v>
      </c>
      <c r="E5" s="59" t="s">
        <v>94</v>
      </c>
      <c r="F5" s="59" t="s">
        <v>95</v>
      </c>
      <c r="G5" s="59" t="s">
        <v>96</v>
      </c>
      <c r="H5" s="59" t="s">
        <v>97</v>
      </c>
      <c r="I5" s="59" t="s">
        <v>98</v>
      </c>
    </row>
    <row r="6" customFormat="false" ht="15" hidden="false" customHeight="false" outlineLevel="0" collapsed="false">
      <c r="B6" s="60" t="s">
        <v>92</v>
      </c>
      <c r="C6" s="17" t="n">
        <v>1</v>
      </c>
      <c r="D6" s="13" t="n">
        <v>3</v>
      </c>
      <c r="E6" s="13" t="n">
        <v>5</v>
      </c>
      <c r="F6" s="13" t="n">
        <v>7</v>
      </c>
      <c r="G6" s="13" t="n">
        <v>5</v>
      </c>
      <c r="H6" s="13" t="n">
        <v>7</v>
      </c>
      <c r="I6" s="13" t="n">
        <v>9</v>
      </c>
    </row>
    <row r="7" customFormat="false" ht="15" hidden="false" customHeight="false" outlineLevel="0" collapsed="false">
      <c r="B7" s="60" t="s">
        <v>93</v>
      </c>
      <c r="C7" s="23" t="n">
        <f aca="false">1/D6</f>
        <v>0.333333333333333</v>
      </c>
      <c r="D7" s="17" t="n">
        <v>1</v>
      </c>
      <c r="E7" s="13" t="n">
        <v>3</v>
      </c>
      <c r="F7" s="13" t="n">
        <v>5</v>
      </c>
      <c r="G7" s="13" t="n">
        <v>3</v>
      </c>
      <c r="H7" s="13" t="n">
        <v>5</v>
      </c>
      <c r="I7" s="13" t="n">
        <v>7</v>
      </c>
    </row>
    <row r="8" customFormat="false" ht="15" hidden="false" customHeight="false" outlineLevel="0" collapsed="false">
      <c r="B8" s="60" t="s">
        <v>94</v>
      </c>
      <c r="C8" s="23" t="n">
        <f aca="false">1/E6</f>
        <v>0.2</v>
      </c>
      <c r="D8" s="23" t="n">
        <f aca="false">1/E7</f>
        <v>0.333333333333333</v>
      </c>
      <c r="E8" s="17" t="n">
        <v>1</v>
      </c>
      <c r="F8" s="13" t="n">
        <v>3</v>
      </c>
      <c r="G8" s="13" t="n">
        <v>1</v>
      </c>
      <c r="H8" s="13" t="n">
        <v>3</v>
      </c>
      <c r="I8" s="13" t="n">
        <v>5</v>
      </c>
    </row>
    <row r="9" customFormat="false" ht="15" hidden="false" customHeight="false" outlineLevel="0" collapsed="false">
      <c r="B9" s="60" t="s">
        <v>95</v>
      </c>
      <c r="C9" s="23" t="n">
        <f aca="false">1/F6</f>
        <v>0.142857142857143</v>
      </c>
      <c r="D9" s="23" t="n">
        <f aca="false">1/F7</f>
        <v>0.2</v>
      </c>
      <c r="E9" s="23" t="n">
        <f aca="false">1/F8</f>
        <v>0.333333333333333</v>
      </c>
      <c r="F9" s="17" t="n">
        <v>1</v>
      </c>
      <c r="G9" s="13" t="n">
        <v>0.333333333333333</v>
      </c>
      <c r="H9" s="13" t="n">
        <v>1</v>
      </c>
      <c r="I9" s="13" t="n">
        <v>3</v>
      </c>
    </row>
    <row r="10" customFormat="false" ht="15" hidden="false" customHeight="false" outlineLevel="0" collapsed="false">
      <c r="B10" s="60" t="s">
        <v>96</v>
      </c>
      <c r="C10" s="23" t="n">
        <f aca="false">1/G6</f>
        <v>0.2</v>
      </c>
      <c r="D10" s="23" t="n">
        <f aca="false">1/G7</f>
        <v>0.333333333333333</v>
      </c>
      <c r="E10" s="23" t="n">
        <f aca="false">1/G8</f>
        <v>1</v>
      </c>
      <c r="F10" s="23" t="n">
        <f aca="false">1/G9</f>
        <v>3</v>
      </c>
      <c r="G10" s="17" t="n">
        <v>1</v>
      </c>
      <c r="H10" s="13" t="n">
        <v>3</v>
      </c>
      <c r="I10" s="13" t="n">
        <v>5</v>
      </c>
    </row>
    <row r="11" customFormat="false" ht="15" hidden="false" customHeight="false" outlineLevel="0" collapsed="false">
      <c r="B11" s="60" t="s">
        <v>97</v>
      </c>
      <c r="C11" s="23" t="n">
        <f aca="false">1/H6</f>
        <v>0.142857142857143</v>
      </c>
      <c r="D11" s="23" t="n">
        <f aca="false">1/H7</f>
        <v>0.2</v>
      </c>
      <c r="E11" s="23" t="n">
        <f aca="false">1/H8</f>
        <v>0.333333333333333</v>
      </c>
      <c r="F11" s="23" t="n">
        <f aca="false">1/H9</f>
        <v>1</v>
      </c>
      <c r="G11" s="23" t="n">
        <f aca="false">1/H10</f>
        <v>0.333333333333333</v>
      </c>
      <c r="H11" s="17" t="n">
        <v>1</v>
      </c>
      <c r="I11" s="13" t="n">
        <v>3</v>
      </c>
    </row>
    <row r="12" customFormat="false" ht="15" hidden="false" customHeight="false" outlineLevel="0" collapsed="false">
      <c r="B12" s="60" t="s">
        <v>98</v>
      </c>
      <c r="C12" s="23" t="n">
        <f aca="false">1/I6</f>
        <v>0.111111111111111</v>
      </c>
      <c r="D12" s="23" t="n">
        <f aca="false">1/I7</f>
        <v>0.142857142857143</v>
      </c>
      <c r="E12" s="23" t="n">
        <f aca="false">1/I8</f>
        <v>0.2</v>
      </c>
      <c r="F12" s="23" t="n">
        <f aca="false">1/I9</f>
        <v>0.333333333333333</v>
      </c>
      <c r="G12" s="23" t="n">
        <f aca="false">1/I10</f>
        <v>0.2</v>
      </c>
      <c r="H12" s="23" t="n">
        <f aca="false">1/I11</f>
        <v>0.333333333333333</v>
      </c>
      <c r="I12" s="17" t="n">
        <v>1</v>
      </c>
    </row>
    <row r="13" customFormat="false" ht="15" hidden="false" customHeight="false" outlineLevel="0" collapsed="false">
      <c r="B13" s="8" t="s">
        <v>99</v>
      </c>
      <c r="C13" s="61" t="n">
        <f aca="false">SUM(C6:C12)</f>
        <v>2.13015873015873</v>
      </c>
      <c r="D13" s="61" t="n">
        <f aca="false">SUM(D6:D12)</f>
        <v>5.20952380952381</v>
      </c>
      <c r="E13" s="61" t="n">
        <f aca="false">SUM(E6:E12)</f>
        <v>10.8666666666667</v>
      </c>
      <c r="F13" s="61" t="n">
        <f aca="false">SUM(F6:F12)</f>
        <v>20.3333333333333</v>
      </c>
      <c r="G13" s="61" t="n">
        <f aca="false">SUM(G6:G12)</f>
        <v>10.8666666666667</v>
      </c>
      <c r="H13" s="61" t="n">
        <f aca="false">SUM(H6:H12)</f>
        <v>20.3333333333333</v>
      </c>
      <c r="I13" s="61" t="n">
        <f aca="false">SUM(I6:I12)</f>
        <v>33</v>
      </c>
    </row>
    <row r="15" customFormat="false" ht="15" hidden="false" customHeight="true" outlineLevel="0" collapsed="false">
      <c r="B15" s="7" t="s">
        <v>100</v>
      </c>
      <c r="C15" s="7"/>
      <c r="D15" s="7"/>
      <c r="E15" s="7"/>
      <c r="F15" s="7"/>
      <c r="G15" s="7"/>
      <c r="H15" s="7"/>
      <c r="I15" s="7"/>
      <c r="J15" s="7"/>
      <c r="K15" s="7"/>
    </row>
    <row r="16" customFormat="false" ht="36" hidden="false" customHeight="true" outlineLevel="0" collapsed="false">
      <c r="B16" s="8" t="s">
        <v>101</v>
      </c>
      <c r="C16" s="59" t="s">
        <v>92</v>
      </c>
      <c r="D16" s="59" t="s">
        <v>93</v>
      </c>
      <c r="E16" s="59" t="s">
        <v>94</v>
      </c>
      <c r="F16" s="59" t="s">
        <v>95</v>
      </c>
      <c r="G16" s="59" t="s">
        <v>96</v>
      </c>
      <c r="H16" s="59" t="s">
        <v>97</v>
      </c>
      <c r="I16" s="59" t="s">
        <v>98</v>
      </c>
      <c r="J16" s="62" t="s">
        <v>102</v>
      </c>
    </row>
    <row r="17" customFormat="false" ht="15" hidden="false" customHeight="false" outlineLevel="0" collapsed="false">
      <c r="B17" s="60" t="s">
        <v>92</v>
      </c>
      <c r="C17" s="63" t="n">
        <f aca="false">C6/C13</f>
        <v>0.469448584202683</v>
      </c>
      <c r="D17" s="25" t="n">
        <f aca="false">D6/D13</f>
        <v>0.575868372943327</v>
      </c>
      <c r="E17" s="25" t="n">
        <f aca="false">E6/E13</f>
        <v>0.460122699386503</v>
      </c>
      <c r="F17" s="25" t="n">
        <f aca="false">F6/F13</f>
        <v>0.344262295081967</v>
      </c>
      <c r="G17" s="25" t="n">
        <f aca="false">G6/G13</f>
        <v>0.460122699386503</v>
      </c>
      <c r="H17" s="25" t="n">
        <f aca="false">H6/H13</f>
        <v>0.344262295081967</v>
      </c>
      <c r="I17" s="25" t="n">
        <f aca="false">I6/I13</f>
        <v>0.272727272727273</v>
      </c>
      <c r="J17" s="64" t="n">
        <f aca="false">AVERAGE(C17:I17)</f>
        <v>0.418116316972889</v>
      </c>
      <c r="P17" s="63" t="n">
        <f aca="false">C6/C13</f>
        <v>0.469448584202683</v>
      </c>
      <c r="Q17" s="25" t="n">
        <f aca="false">D6/D13</f>
        <v>0.575868372943327</v>
      </c>
      <c r="R17" s="25" t="n">
        <f aca="false">E6/E13</f>
        <v>0.460122699386503</v>
      </c>
      <c r="S17" s="25" t="n">
        <f aca="false">F6/F13</f>
        <v>0.344262295081967</v>
      </c>
      <c r="T17" s="25" t="n">
        <f aca="false">G6/G13</f>
        <v>0.460122699386503</v>
      </c>
      <c r="U17" s="25" t="n">
        <f aca="false">H6/H13</f>
        <v>0.344262295081967</v>
      </c>
      <c r="V17" s="25" t="n">
        <f aca="false">I6/I13</f>
        <v>0.272727272727273</v>
      </c>
    </row>
    <row r="18" customFormat="false" ht="15" hidden="false" customHeight="false" outlineLevel="0" collapsed="false">
      <c r="B18" s="60" t="s">
        <v>93</v>
      </c>
      <c r="C18" s="25" t="n">
        <f aca="false">C7/C13</f>
        <v>0.156482861400894</v>
      </c>
      <c r="D18" s="63" t="n">
        <f aca="false">D7/D13</f>
        <v>0.191956124314442</v>
      </c>
      <c r="E18" s="25" t="n">
        <f aca="false">E7/E13</f>
        <v>0.276073619631902</v>
      </c>
      <c r="F18" s="25" t="n">
        <f aca="false">F7/F13</f>
        <v>0.245901639344262</v>
      </c>
      <c r="G18" s="25" t="n">
        <f aca="false">G7/G13</f>
        <v>0.276073619631902</v>
      </c>
      <c r="H18" s="25" t="n">
        <f aca="false">H7/H13</f>
        <v>0.245901639344262</v>
      </c>
      <c r="I18" s="25" t="n">
        <f aca="false">I7/I13</f>
        <v>0.212121212121212</v>
      </c>
      <c r="J18" s="64" t="n">
        <f aca="false">AVERAGE(C18:I18)</f>
        <v>0.229215816541268</v>
      </c>
      <c r="P18" s="25" t="n">
        <f aca="false">C7/C13</f>
        <v>0.156482861400894</v>
      </c>
      <c r="Q18" s="63" t="n">
        <f aca="false">D7/D13</f>
        <v>0.191956124314442</v>
      </c>
      <c r="R18" s="25" t="n">
        <f aca="false">E7/E13</f>
        <v>0.276073619631902</v>
      </c>
      <c r="S18" s="25" t="n">
        <f aca="false">F7/F13</f>
        <v>0.245901639344262</v>
      </c>
      <c r="T18" s="25" t="n">
        <f aca="false">G7/G13</f>
        <v>0.276073619631902</v>
      </c>
      <c r="U18" s="25" t="n">
        <f aca="false">H7/H13</f>
        <v>0.245901639344262</v>
      </c>
      <c r="V18" s="25" t="n">
        <f aca="false">I7/I13</f>
        <v>0.212121212121212</v>
      </c>
    </row>
    <row r="19" customFormat="false" ht="15" hidden="false" customHeight="false" outlineLevel="0" collapsed="false">
      <c r="B19" s="60" t="s">
        <v>94</v>
      </c>
      <c r="C19" s="25" t="n">
        <f aca="false">C8/C13</f>
        <v>0.0938897168405365</v>
      </c>
      <c r="D19" s="25" t="n">
        <f aca="false">D8/D13</f>
        <v>0.0639853747714808</v>
      </c>
      <c r="E19" s="63" t="n">
        <f aca="false">E8/E13</f>
        <v>0.0920245398773006</v>
      </c>
      <c r="F19" s="25" t="n">
        <f aca="false">F8/F13</f>
        <v>0.147540983606557</v>
      </c>
      <c r="G19" s="25" t="n">
        <f aca="false">G8/G13</f>
        <v>0.0920245398773006</v>
      </c>
      <c r="H19" s="25" t="n">
        <f aca="false">H8/H13</f>
        <v>0.147540983606557</v>
      </c>
      <c r="I19" s="25" t="n">
        <f aca="false">I8/I13</f>
        <v>0.151515151515152</v>
      </c>
      <c r="J19" s="64" t="n">
        <f aca="false">AVERAGE(C19:I19)</f>
        <v>0.112645898584984</v>
      </c>
      <c r="P19" s="25" t="n">
        <f aca="false">C8/C13</f>
        <v>0.0938897168405365</v>
      </c>
      <c r="Q19" s="25" t="n">
        <f aca="false">D8/D13</f>
        <v>0.0639853747714808</v>
      </c>
      <c r="R19" s="63" t="n">
        <f aca="false">E8/E13</f>
        <v>0.0920245398773006</v>
      </c>
      <c r="S19" s="25" t="n">
        <f aca="false">F8/F13</f>
        <v>0.147540983606557</v>
      </c>
      <c r="T19" s="25" t="n">
        <f aca="false">G8/G13</f>
        <v>0.0920245398773006</v>
      </c>
      <c r="U19" s="25" t="n">
        <f aca="false">H8/H13</f>
        <v>0.147540983606557</v>
      </c>
      <c r="V19" s="25" t="n">
        <f aca="false">I8/I13</f>
        <v>0.151515151515152</v>
      </c>
    </row>
    <row r="20" customFormat="false" ht="15" hidden="false" customHeight="false" outlineLevel="0" collapsed="false">
      <c r="B20" s="60" t="s">
        <v>95</v>
      </c>
      <c r="C20" s="25" t="n">
        <f aca="false">C9/C13</f>
        <v>0.0670640834575261</v>
      </c>
      <c r="D20" s="25" t="n">
        <f aca="false">D9/D13</f>
        <v>0.0383912248628885</v>
      </c>
      <c r="E20" s="25" t="n">
        <f aca="false">E9/E13</f>
        <v>0.0306748466257669</v>
      </c>
      <c r="F20" s="63" t="n">
        <f aca="false">F9/F13</f>
        <v>0.0491803278688525</v>
      </c>
      <c r="G20" s="25" t="n">
        <f aca="false">G9/G13</f>
        <v>0.0306748466257668</v>
      </c>
      <c r="H20" s="25" t="n">
        <f aca="false">H9/H13</f>
        <v>0.0491803278688525</v>
      </c>
      <c r="I20" s="25" t="n">
        <f aca="false">I9/I13</f>
        <v>0.0909090909090909</v>
      </c>
      <c r="J20" s="64" t="n">
        <f aca="false">AVERAGE(C20:I20)</f>
        <v>0.0508678211741063</v>
      </c>
      <c r="P20" s="25" t="n">
        <f aca="false">C9/C13</f>
        <v>0.0670640834575261</v>
      </c>
      <c r="Q20" s="25" t="n">
        <f aca="false">D9/D13</f>
        <v>0.0383912248628885</v>
      </c>
      <c r="R20" s="25" t="n">
        <f aca="false">E9/E13</f>
        <v>0.0306748466257669</v>
      </c>
      <c r="S20" s="63" t="n">
        <f aca="false">F9/F13</f>
        <v>0.0491803278688525</v>
      </c>
      <c r="T20" s="25" t="n">
        <f aca="false">G9/G13</f>
        <v>0.0306748466257668</v>
      </c>
      <c r="U20" s="25" t="n">
        <f aca="false">H9/H13</f>
        <v>0.0491803278688525</v>
      </c>
      <c r="V20" s="25" t="n">
        <f aca="false">I9/I13</f>
        <v>0.0909090909090909</v>
      </c>
    </row>
    <row r="21" customFormat="false" ht="15" hidden="false" customHeight="false" outlineLevel="0" collapsed="false">
      <c r="B21" s="60" t="s">
        <v>96</v>
      </c>
      <c r="C21" s="25" t="n">
        <f aca="false">C10/C13</f>
        <v>0.0938897168405365</v>
      </c>
      <c r="D21" s="25" t="n">
        <f aca="false">D10/D13</f>
        <v>0.0639853747714808</v>
      </c>
      <c r="E21" s="25" t="n">
        <f aca="false">E10/E13</f>
        <v>0.0920245398773006</v>
      </c>
      <c r="F21" s="25" t="n">
        <f aca="false">F10/F13</f>
        <v>0.147540983606558</v>
      </c>
      <c r="G21" s="63" t="n">
        <f aca="false">G10/G13</f>
        <v>0.0920245398773006</v>
      </c>
      <c r="H21" s="25" t="n">
        <f aca="false">H10/H13</f>
        <v>0.147540983606557</v>
      </c>
      <c r="I21" s="25" t="n">
        <f aca="false">I10/I13</f>
        <v>0.151515151515152</v>
      </c>
      <c r="J21" s="64" t="n">
        <f aca="false">AVERAGE(C21:I21)</f>
        <v>0.112645898584984</v>
      </c>
      <c r="P21" s="25" t="n">
        <f aca="false">C10/C13</f>
        <v>0.0938897168405365</v>
      </c>
      <c r="Q21" s="25" t="n">
        <f aca="false">D10/D13</f>
        <v>0.0639853747714808</v>
      </c>
      <c r="R21" s="25" t="n">
        <f aca="false">E10/E13</f>
        <v>0.0920245398773006</v>
      </c>
      <c r="S21" s="25" t="n">
        <f aca="false">F10/F13</f>
        <v>0.147540983606558</v>
      </c>
      <c r="T21" s="63" t="n">
        <f aca="false">G10/G13</f>
        <v>0.0920245398773006</v>
      </c>
      <c r="U21" s="25" t="n">
        <f aca="false">H10/H13</f>
        <v>0.147540983606557</v>
      </c>
      <c r="V21" s="25" t="n">
        <f aca="false">I10/I13</f>
        <v>0.151515151515152</v>
      </c>
    </row>
    <row r="22" customFormat="false" ht="15" hidden="false" customHeight="false" outlineLevel="0" collapsed="false">
      <c r="B22" s="60" t="s">
        <v>97</v>
      </c>
      <c r="C22" s="25" t="n">
        <f aca="false">C11/C13</f>
        <v>0.0670640834575261</v>
      </c>
      <c r="D22" s="25" t="n">
        <f aca="false">D11/D13</f>
        <v>0.0383912248628885</v>
      </c>
      <c r="E22" s="25" t="n">
        <f aca="false">E11/E13</f>
        <v>0.0306748466257669</v>
      </c>
      <c r="F22" s="25" t="n">
        <f aca="false">F11/F13</f>
        <v>0.0491803278688525</v>
      </c>
      <c r="G22" s="25" t="n">
        <f aca="false">G11/G13</f>
        <v>0.0306748466257669</v>
      </c>
      <c r="H22" s="63" t="n">
        <f aca="false">H11/H13</f>
        <v>0.0491803278688525</v>
      </c>
      <c r="I22" s="25" t="n">
        <f aca="false">I11/I13</f>
        <v>0.0909090909090909</v>
      </c>
      <c r="J22" s="64" t="n">
        <f aca="false">AVERAGE(C22:I22)</f>
        <v>0.0508678211741063</v>
      </c>
      <c r="P22" s="25" t="n">
        <f aca="false">C11/C13</f>
        <v>0.0670640834575261</v>
      </c>
      <c r="Q22" s="25" t="n">
        <f aca="false">D11/D13</f>
        <v>0.0383912248628885</v>
      </c>
      <c r="R22" s="25" t="n">
        <f aca="false">E11/E13</f>
        <v>0.0306748466257669</v>
      </c>
      <c r="S22" s="25" t="n">
        <f aca="false">F11/F13</f>
        <v>0.0491803278688525</v>
      </c>
      <c r="T22" s="25" t="n">
        <f aca="false">G11/G13</f>
        <v>0.0306748466257669</v>
      </c>
      <c r="U22" s="63" t="n">
        <f aca="false">H11/H13</f>
        <v>0.0491803278688525</v>
      </c>
      <c r="V22" s="25" t="n">
        <f aca="false">I11/I13</f>
        <v>0.0909090909090909</v>
      </c>
    </row>
    <row r="23" customFormat="false" ht="15" hidden="false" customHeight="false" outlineLevel="0" collapsed="false">
      <c r="B23" s="60" t="s">
        <v>98</v>
      </c>
      <c r="C23" s="25" t="n">
        <f aca="false">C12/C13</f>
        <v>0.0521609538002981</v>
      </c>
      <c r="D23" s="25" t="n">
        <f aca="false">D12/D13</f>
        <v>0.0274223034734918</v>
      </c>
      <c r="E23" s="25" t="n">
        <f aca="false">E12/E13</f>
        <v>0.0184049079754601</v>
      </c>
      <c r="F23" s="25" t="n">
        <f aca="false">F12/F13</f>
        <v>0.0163934426229508</v>
      </c>
      <c r="G23" s="25" t="n">
        <f aca="false">G12/G13</f>
        <v>0.0184049079754601</v>
      </c>
      <c r="H23" s="25" t="n">
        <f aca="false">H12/H13</f>
        <v>0.0163934426229508</v>
      </c>
      <c r="I23" s="63" t="n">
        <f aca="false">I12/I13</f>
        <v>0.0303030303030303</v>
      </c>
      <c r="J23" s="64" t="n">
        <f aca="false">AVERAGE(C23:I23)</f>
        <v>0.0256404269676631</v>
      </c>
      <c r="P23" s="25" t="n">
        <f aca="false">C12/C13</f>
        <v>0.0521609538002981</v>
      </c>
      <c r="Q23" s="25" t="n">
        <f aca="false">D12/D13</f>
        <v>0.0274223034734918</v>
      </c>
      <c r="R23" s="25" t="n">
        <f aca="false">E12/E13</f>
        <v>0.0184049079754601</v>
      </c>
      <c r="S23" s="25" t="n">
        <f aca="false">F12/F13</f>
        <v>0.0163934426229508</v>
      </c>
      <c r="T23" s="25" t="n">
        <f aca="false">G12/G13</f>
        <v>0.0184049079754601</v>
      </c>
      <c r="U23" s="25" t="n">
        <f aca="false">H12/H13</f>
        <v>0.0163934426229508</v>
      </c>
      <c r="V23" s="63" t="n">
        <f aca="false">I12/I13</f>
        <v>0.0303030303030303</v>
      </c>
    </row>
    <row r="25" customFormat="false" ht="15" hidden="false" customHeight="true" outlineLevel="0" collapsed="false">
      <c r="B25" s="7" t="s">
        <v>103</v>
      </c>
      <c r="C25" s="7"/>
      <c r="D25" s="7"/>
      <c r="E25" s="7"/>
      <c r="F25" s="7"/>
      <c r="G25" s="7"/>
      <c r="H25" s="7"/>
      <c r="I25" s="7"/>
      <c r="J25" s="7"/>
      <c r="K25" s="7"/>
    </row>
    <row r="26" customFormat="false" ht="25.5" hidden="false" customHeight="true" outlineLevel="0" collapsed="false">
      <c r="B26" s="8" t="s">
        <v>104</v>
      </c>
      <c r="C26" s="65" t="n">
        <f aca="false">C6*J17+D6*J18+E6*J19+F6*J20+G6*J21+H6*J22+I6*J23</f>
        <v>3.17513609159299</v>
      </c>
      <c r="D26" s="65" t="n">
        <f aca="false">C7*J17+D7*J18+E7*J19+F7*J20+G7*J21+H7*J22+I7*J23</f>
        <v>1.7326245142235</v>
      </c>
      <c r="E26" s="65" t="n">
        <f aca="false">C8*J17+D8*J18+E8*J19+F8*J20+G8*J21+H8*J22+I8*J23</f>
        <v>0.818729394627921</v>
      </c>
      <c r="F26" s="65" t="n">
        <f aca="false">C9*J17+D9*J18+E9*J19+F9*J20+G9*J21+H9*J22+I9*J23</f>
        <v>0.359328254707477</v>
      </c>
      <c r="G26" s="65" t="n">
        <f aca="false">C10*J17+D10*J18+E10*J19+F10*J20+G10*J21+H10*J22+I10*J23</f>
        <v>0.818729394627921</v>
      </c>
      <c r="H26" s="65" t="n">
        <f aca="false">C11*J17+D11*J18+E11*J19+F11*J20+G11*J21+H11*J22+I11*J23</f>
        <v>0.359328254707477</v>
      </c>
      <c r="I26" s="65" t="n">
        <f aca="false">C12*J17+D12*J18+E12*J19+F12*J20+G12*J21+H12*J22+I12*J23</f>
        <v>0.18381315238569</v>
      </c>
    </row>
    <row r="27" customFormat="false" ht="25.5" hidden="false" customHeight="true" outlineLevel="0" collapsed="false">
      <c r="B27" s="8" t="s">
        <v>105</v>
      </c>
      <c r="C27" s="23" t="n">
        <f aca="false">C26/J17</f>
        <v>7.59390619954893</v>
      </c>
      <c r="D27" s="23" t="n">
        <f aca="false">D26/J18</f>
        <v>7.55892215627957</v>
      </c>
      <c r="E27" s="23" t="n">
        <f aca="false">E26/J19</f>
        <v>7.26816870309971</v>
      </c>
      <c r="F27" s="23" t="n">
        <f aca="false">F26/J20</f>
        <v>7.06396001270816</v>
      </c>
      <c r="G27" s="23" t="n">
        <f aca="false">G26/J21</f>
        <v>7.26816870309971</v>
      </c>
      <c r="H27" s="23" t="n">
        <f aca="false">H26/J22</f>
        <v>7.06396001270816</v>
      </c>
      <c r="I27" s="23" t="n">
        <f aca="false">I26/J23</f>
        <v>7.16888032393177</v>
      </c>
    </row>
    <row r="28" customFormat="false" ht="15" hidden="false" customHeight="true" outlineLevel="0" collapsed="false">
      <c r="B28" s="66" t="s">
        <v>106</v>
      </c>
      <c r="C28" s="67" t="s">
        <v>107</v>
      </c>
      <c r="D28" s="67"/>
      <c r="E28" s="67"/>
      <c r="F28" s="67"/>
      <c r="G28" s="67"/>
      <c r="H28" s="67"/>
      <c r="I28" s="67"/>
      <c r="J28" s="67"/>
      <c r="K28" s="67"/>
    </row>
    <row r="29" customFormat="false" ht="15" hidden="false" customHeight="false" outlineLevel="0" collapsed="false">
      <c r="B29" s="66" t="s">
        <v>108</v>
      </c>
      <c r="C29" s="68" t="n">
        <f aca="false">AVERAGE(C27:I27)</f>
        <v>7.28370944448229</v>
      </c>
      <c r="D29" s="68"/>
      <c r="E29" s="68"/>
      <c r="F29" s="68"/>
      <c r="G29" s="68"/>
      <c r="H29" s="68"/>
      <c r="I29" s="68"/>
      <c r="J29" s="68"/>
      <c r="K29" s="68"/>
    </row>
    <row r="30" customFormat="false" ht="15" hidden="false" customHeight="false" outlineLevel="0" collapsed="false">
      <c r="B30" s="66" t="s">
        <v>109</v>
      </c>
      <c r="C30" s="68" t="n">
        <f aca="false">(C29-C28)/(C28-1)</f>
        <v>0.0472849074137144</v>
      </c>
      <c r="D30" s="68"/>
      <c r="E30" s="68"/>
      <c r="F30" s="68"/>
      <c r="G30" s="68"/>
      <c r="H30" s="68"/>
      <c r="I30" s="68"/>
      <c r="J30" s="68"/>
      <c r="K30" s="68"/>
    </row>
    <row r="31" customFormat="false" ht="15" hidden="false" customHeight="false" outlineLevel="0" collapsed="false">
      <c r="B31" s="66" t="s">
        <v>110</v>
      </c>
      <c r="C31" s="68" t="n">
        <v>1.32</v>
      </c>
      <c r="D31" s="68"/>
      <c r="E31" s="68"/>
      <c r="F31" s="68"/>
      <c r="G31" s="68"/>
      <c r="H31" s="68"/>
      <c r="I31" s="68"/>
      <c r="J31" s="68"/>
      <c r="K31" s="68"/>
    </row>
    <row r="32" customFormat="false" ht="15" hidden="false" customHeight="false" outlineLevel="0" collapsed="false">
      <c r="B32" s="66" t="s">
        <v>111</v>
      </c>
      <c r="C32" s="68" t="n">
        <f aca="false">C30/C31</f>
        <v>0.0358218995558443</v>
      </c>
      <c r="D32" s="68"/>
      <c r="E32" s="68"/>
      <c r="F32" s="68"/>
      <c r="G32" s="68"/>
      <c r="H32" s="68"/>
      <c r="I32" s="68"/>
      <c r="J32" s="68"/>
      <c r="K32" s="68"/>
    </row>
    <row r="33" customFormat="false" ht="15" hidden="false" customHeight="false" outlineLevel="0" collapsed="false">
      <c r="B33" s="66" t="s">
        <v>112</v>
      </c>
      <c r="C33" s="69" t="str">
        <f aca="false">IF(C32&lt;0.1,"✔ KONSISTEN (CR &lt; 0.1)","✘ TIDAK KONSISTEN")</f>
        <v>✔ KONSISTEN (CR &lt; 0.1)</v>
      </c>
      <c r="D33" s="69"/>
      <c r="E33" s="69"/>
      <c r="F33" s="69"/>
      <c r="G33" s="69"/>
      <c r="H33" s="69"/>
      <c r="I33" s="69"/>
      <c r="J33" s="69"/>
      <c r="K33" s="69"/>
    </row>
  </sheetData>
  <mergeCells count="11">
    <mergeCell ref="B1:K1"/>
    <mergeCell ref="B2:K2"/>
    <mergeCell ref="B4:K4"/>
    <mergeCell ref="B15:K15"/>
    <mergeCell ref="B25:K25"/>
    <mergeCell ref="C28:K28"/>
    <mergeCell ref="C29:K29"/>
    <mergeCell ref="C30:K30"/>
    <mergeCell ref="C31:K31"/>
    <mergeCell ref="C32:K32"/>
    <mergeCell ref="C33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15" hidden="false" customHeight="true" outlineLevel="0" collapsed="false">
      <c r="B1" s="6" t="s">
        <v>113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customFormat="false" ht="15" hidden="false" customHeight="true" outlineLevel="0" collapsed="false">
      <c r="B2" s="2" t="s">
        <v>114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7" t="s">
        <v>115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customFormat="false" ht="39.75" hidden="false" customHeight="true" outlineLevel="0" collapsed="false">
      <c r="B5" s="8" t="s">
        <v>116</v>
      </c>
      <c r="C5" s="8" t="s">
        <v>39</v>
      </c>
      <c r="D5" s="8" t="s">
        <v>40</v>
      </c>
      <c r="E5" s="8" t="s">
        <v>41</v>
      </c>
      <c r="F5" s="8" t="s">
        <v>42</v>
      </c>
      <c r="G5" s="8" t="s">
        <v>43</v>
      </c>
      <c r="H5" s="8" t="s">
        <v>44</v>
      </c>
      <c r="I5" s="8" t="s">
        <v>45</v>
      </c>
      <c r="J5" s="8" t="s">
        <v>117</v>
      </c>
      <c r="K5" s="8" t="s">
        <v>118</v>
      </c>
      <c r="L5" s="8" t="s">
        <v>27</v>
      </c>
    </row>
    <row r="6" customFormat="false" ht="21.75" hidden="false" customHeight="true" outlineLevel="0" collapsed="false">
      <c r="B6" s="70" t="s">
        <v>102</v>
      </c>
      <c r="C6" s="64" t="n">
        <f aca="false">'TAHAP 2 – AHP'!J17</f>
        <v>0.418116316972889</v>
      </c>
      <c r="D6" s="64" t="n">
        <f aca="false">'TAHAP 2 – AHP'!J18</f>
        <v>0.229215816541268</v>
      </c>
      <c r="E6" s="64" t="n">
        <f aca="false">'TAHAP 2 – AHP'!J19</f>
        <v>0.112645898584984</v>
      </c>
      <c r="F6" s="64" t="n">
        <f aca="false">'TAHAP 2 – AHP'!J20</f>
        <v>0.0508678211741063</v>
      </c>
      <c r="G6" s="64" t="n">
        <f aca="false">'TAHAP 2 – AHP'!J21</f>
        <v>0.112645898584984</v>
      </c>
      <c r="H6" s="64" t="n">
        <f aca="false">'TAHAP 2 – AHP'!J22</f>
        <v>0.0508678211741063</v>
      </c>
      <c r="I6" s="64" t="n">
        <f aca="false">'TAHAP 2 – AHP'!J23</f>
        <v>0.0256404269676631</v>
      </c>
    </row>
    <row r="7" customFormat="false" ht="15" hidden="false" customHeight="true" outlineLevel="0" collapsed="false">
      <c r="B7" s="7" t="s">
        <v>119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39.75" hidden="false" customHeight="true" outlineLevel="0" collapsed="false">
      <c r="B8" s="8" t="s">
        <v>16</v>
      </c>
      <c r="C8" s="8" t="s">
        <v>17</v>
      </c>
      <c r="D8" s="8" t="s">
        <v>39</v>
      </c>
      <c r="E8" s="8" t="s">
        <v>40</v>
      </c>
      <c r="F8" s="8" t="s">
        <v>41</v>
      </c>
      <c r="G8" s="8" t="s">
        <v>42</v>
      </c>
      <c r="H8" s="8" t="s">
        <v>43</v>
      </c>
      <c r="I8" s="8" t="s">
        <v>44</v>
      </c>
      <c r="J8" s="8" t="s">
        <v>45</v>
      </c>
      <c r="K8" s="8" t="s">
        <v>117</v>
      </c>
      <c r="L8" s="8" t="s">
        <v>118</v>
      </c>
      <c r="M8" s="8" t="s">
        <v>27</v>
      </c>
    </row>
    <row r="9" customFormat="false" ht="21.75" hidden="false" customHeight="true" outlineLevel="0" collapsed="false">
      <c r="B9" s="9" t="n">
        <v>1</v>
      </c>
      <c r="C9" s="5" t="str">
        <f aca="false">'TAHAP 1 – K-MEANS'!C6</f>
        <v>Andi Setiawan</v>
      </c>
      <c r="D9" s="71" t="n">
        <f aca="false">'TAHAP 1 – K-MEANS'!D6</f>
        <v>8</v>
      </c>
      <c r="E9" s="71" t="n">
        <f aca="false">'TAHAP 1 – K-MEANS'!E6</f>
        <v>7</v>
      </c>
      <c r="F9" s="71" t="n">
        <f aca="false">'TAHAP 1 – K-MEANS'!F6</f>
        <v>9</v>
      </c>
      <c r="G9" s="71" t="n">
        <f aca="false">'TAHAP 1 – K-MEANS'!G6</f>
        <v>8</v>
      </c>
      <c r="H9" s="71" t="n">
        <f aca="false">'TAHAP 1 – K-MEANS'!H6</f>
        <v>9</v>
      </c>
      <c r="I9" s="71" t="n">
        <f aca="false">'TAHAP 1 – K-MEANS'!I6</f>
        <v>7</v>
      </c>
      <c r="J9" s="71" t="n">
        <f aca="false">'TAHAP 1 – K-MEANS'!J6</f>
        <v>8</v>
      </c>
      <c r="K9" s="64" t="n">
        <f aca="false">(D9^C6)*(E9^D6)*(F9^E6)*(G9^F6)*(H9^G6)*(I9^H6)*(J9^I6)</f>
        <v>7.91355518476562</v>
      </c>
      <c r="L9" s="10" t="n">
        <f aca="false">RANK(K9,K9:K18,0)</f>
        <v>4</v>
      </c>
      <c r="M9" s="24" t="str">
        <f aca="false">'TAHAP 1 – K-MEANS'!M6</f>
        <v>K1</v>
      </c>
    </row>
    <row r="10" customFormat="false" ht="21.75" hidden="false" customHeight="true" outlineLevel="0" collapsed="false">
      <c r="B10" s="13" t="n">
        <v>2</v>
      </c>
      <c r="C10" s="14" t="str">
        <f aca="false">'TAHAP 1 – K-MEANS'!C7</f>
        <v>Budi Santoso</v>
      </c>
      <c r="D10" s="72" t="n">
        <f aca="false">'TAHAP 1 – K-MEANS'!D7</f>
        <v>5</v>
      </c>
      <c r="E10" s="72" t="n">
        <f aca="false">'TAHAP 1 – K-MEANS'!E7</f>
        <v>6</v>
      </c>
      <c r="F10" s="72" t="n">
        <f aca="false">'TAHAP 1 – K-MEANS'!F7</f>
        <v>5</v>
      </c>
      <c r="G10" s="72" t="n">
        <f aca="false">'TAHAP 1 – K-MEANS'!G7</f>
        <v>6</v>
      </c>
      <c r="H10" s="72" t="n">
        <f aca="false">'TAHAP 1 – K-MEANS'!H7</f>
        <v>5</v>
      </c>
      <c r="I10" s="72" t="n">
        <f aca="false">'TAHAP 1 – K-MEANS'!I7</f>
        <v>6</v>
      </c>
      <c r="J10" s="72" t="n">
        <f aca="false">'TAHAP 1 – K-MEANS'!J7</f>
        <v>5</v>
      </c>
      <c r="K10" s="64" t="n">
        <f aca="false">(D10^C6)*(E10^D6)*(F10^E6)*(G10^F6)*(H10^G6)*(I10^H6)*(J10^I6)</f>
        <v>5.31098595880632</v>
      </c>
      <c r="L10" s="15" t="n">
        <f aca="false">RANK(K10,K9:K18,0)</f>
        <v>8</v>
      </c>
      <c r="M10" s="26" t="str">
        <f aca="false">'TAHAP 1 – K-MEANS'!M7</f>
        <v>K3</v>
      </c>
    </row>
    <row r="11" customFormat="false" ht="21.75" hidden="false" customHeight="true" outlineLevel="0" collapsed="false">
      <c r="B11" s="9" t="n">
        <v>3</v>
      </c>
      <c r="C11" s="5" t="str">
        <f aca="false">'TAHAP 1 – K-MEANS'!C8</f>
        <v>Citra Dewi</v>
      </c>
      <c r="D11" s="71" t="n">
        <f aca="false">'TAHAP 1 – K-MEANS'!D8</f>
        <v>9</v>
      </c>
      <c r="E11" s="71" t="n">
        <f aca="false">'TAHAP 1 – K-MEANS'!E8</f>
        <v>9</v>
      </c>
      <c r="F11" s="71" t="n">
        <f aca="false">'TAHAP 1 – K-MEANS'!F8</f>
        <v>8</v>
      </c>
      <c r="G11" s="71" t="n">
        <f aca="false">'TAHAP 1 – K-MEANS'!G8</f>
        <v>9</v>
      </c>
      <c r="H11" s="71" t="n">
        <f aca="false">'TAHAP 1 – K-MEANS'!H8</f>
        <v>9</v>
      </c>
      <c r="I11" s="71" t="n">
        <f aca="false">'TAHAP 1 – K-MEANS'!I8</f>
        <v>8</v>
      </c>
      <c r="J11" s="71" t="n">
        <f aca="false">'TAHAP 1 – K-MEANS'!J8</f>
        <v>9</v>
      </c>
      <c r="K11" s="64" t="n">
        <f aca="false">(D11^C6)*(E11^D6)*(F11^E6)*(G11^F6)*(H11^G6)*(I11^H6)*(J11^I6)</f>
        <v>8.82832617111375</v>
      </c>
      <c r="L11" s="10" t="n">
        <f aca="false">RANK(K11,K9:K18,0)</f>
        <v>1</v>
      </c>
      <c r="M11" s="24" t="str">
        <f aca="false">'TAHAP 1 – K-MEANS'!M8</f>
        <v>K1</v>
      </c>
    </row>
    <row r="12" customFormat="false" ht="21.75" hidden="false" customHeight="true" outlineLevel="0" collapsed="false">
      <c r="B12" s="13" t="n">
        <v>4</v>
      </c>
      <c r="C12" s="14" t="str">
        <f aca="false">'TAHAP 1 – K-MEANS'!C9</f>
        <v>Dian Pratiwi</v>
      </c>
      <c r="D12" s="72" t="n">
        <f aca="false">'TAHAP 1 – K-MEANS'!D9</f>
        <v>6</v>
      </c>
      <c r="E12" s="72" t="n">
        <f aca="false">'TAHAP 1 – K-MEANS'!E9</f>
        <v>5</v>
      </c>
      <c r="F12" s="72" t="n">
        <f aca="false">'TAHAP 1 – K-MEANS'!F9</f>
        <v>6</v>
      </c>
      <c r="G12" s="72" t="n">
        <f aca="false">'TAHAP 1 – K-MEANS'!G9</f>
        <v>5</v>
      </c>
      <c r="H12" s="72" t="n">
        <f aca="false">'TAHAP 1 – K-MEANS'!H9</f>
        <v>6</v>
      </c>
      <c r="I12" s="72" t="n">
        <f aca="false">'TAHAP 1 – K-MEANS'!I9</f>
        <v>5</v>
      </c>
      <c r="J12" s="72" t="n">
        <f aca="false">'TAHAP 1 – K-MEANS'!J9</f>
        <v>6</v>
      </c>
      <c r="K12" s="64" t="n">
        <f aca="false">(D12^C6)*(E12^D6)*(F12^E6)*(G12^F6)*(H12^G6)*(I12^H6)*(J12^I6)</f>
        <v>5.64866867144622</v>
      </c>
      <c r="L12" s="15" t="n">
        <f aca="false">RANK(K12,K9:K18,0)</f>
        <v>7</v>
      </c>
      <c r="M12" s="26" t="str">
        <f aca="false">'TAHAP 1 – K-MEANS'!M9</f>
        <v>K2</v>
      </c>
    </row>
    <row r="13" customFormat="false" ht="21.75" hidden="false" customHeight="true" outlineLevel="0" collapsed="false">
      <c r="B13" s="9" t="n">
        <v>5</v>
      </c>
      <c r="C13" s="5" t="str">
        <f aca="false">'TAHAP 1 – K-MEANS'!C10</f>
        <v>Eko Wahyudi</v>
      </c>
      <c r="D13" s="71" t="n">
        <f aca="false">'TAHAP 1 – K-MEANS'!D10</f>
        <v>7</v>
      </c>
      <c r="E13" s="71" t="n">
        <f aca="false">'TAHAP 1 – K-MEANS'!E10</f>
        <v>8</v>
      </c>
      <c r="F13" s="71" t="n">
        <f aca="false">'TAHAP 1 – K-MEANS'!F10</f>
        <v>7</v>
      </c>
      <c r="G13" s="71" t="n">
        <f aca="false">'TAHAP 1 – K-MEANS'!G10</f>
        <v>8</v>
      </c>
      <c r="H13" s="71" t="n">
        <f aca="false">'TAHAP 1 – K-MEANS'!H10</f>
        <v>7</v>
      </c>
      <c r="I13" s="71" t="n">
        <f aca="false">'TAHAP 1 – K-MEANS'!I10</f>
        <v>8</v>
      </c>
      <c r="J13" s="71" t="n">
        <f aca="false">'TAHAP 1 – K-MEANS'!J10</f>
        <v>7</v>
      </c>
      <c r="K13" s="64" t="n">
        <f aca="false">(D13^C6)*(E13^D6)*(F13^E6)*(G13^F6)*(H13^G6)*(I13^H6)*(J13^I6)</f>
        <v>7.31628406913868</v>
      </c>
      <c r="L13" s="10" t="n">
        <f aca="false">RANK(K13,K9:K18,0)</f>
        <v>5</v>
      </c>
      <c r="M13" s="24" t="str">
        <f aca="false">'TAHAP 1 – K-MEANS'!M10</f>
        <v>K2</v>
      </c>
    </row>
    <row r="14" customFormat="false" ht="21.75" hidden="false" customHeight="true" outlineLevel="0" collapsed="false">
      <c r="B14" s="13" t="n">
        <v>6</v>
      </c>
      <c r="C14" s="14" t="str">
        <f aca="false">'TAHAP 1 – K-MEANS'!C11</f>
        <v>Fitri Handayani</v>
      </c>
      <c r="D14" s="72" t="n">
        <f aca="false">'TAHAP 1 – K-MEANS'!D11</f>
        <v>4</v>
      </c>
      <c r="E14" s="72" t="n">
        <f aca="false">'TAHAP 1 – K-MEANS'!E11</f>
        <v>5</v>
      </c>
      <c r="F14" s="72" t="n">
        <f aca="false">'TAHAP 1 – K-MEANS'!F11</f>
        <v>4</v>
      </c>
      <c r="G14" s="72" t="n">
        <f aca="false">'TAHAP 1 – K-MEANS'!G11</f>
        <v>5</v>
      </c>
      <c r="H14" s="72" t="n">
        <f aca="false">'TAHAP 1 – K-MEANS'!H11</f>
        <v>4</v>
      </c>
      <c r="I14" s="72" t="n">
        <f aca="false">'TAHAP 1 – K-MEANS'!I11</f>
        <v>5</v>
      </c>
      <c r="J14" s="72" t="n">
        <f aca="false">'TAHAP 1 – K-MEANS'!J11</f>
        <v>4</v>
      </c>
      <c r="K14" s="64" t="n">
        <f aca="false">(D14^C6)*(E14^D6)*(F14^E6)*(G14^F6)*(H14^G6)*(I14^H6)*(J14^I6)</f>
        <v>4.30657982482667</v>
      </c>
      <c r="L14" s="15" t="n">
        <f aca="false">RANK(K14,K9:K18,0)</f>
        <v>10</v>
      </c>
      <c r="M14" s="26" t="str">
        <f aca="false">'TAHAP 1 – K-MEANS'!M11</f>
        <v>K3</v>
      </c>
    </row>
    <row r="15" customFormat="false" ht="21.75" hidden="false" customHeight="true" outlineLevel="0" collapsed="false">
      <c r="B15" s="9" t="n">
        <v>7</v>
      </c>
      <c r="C15" s="5" t="str">
        <f aca="false">'TAHAP 1 – K-MEANS'!C12</f>
        <v>Galih Nugroho</v>
      </c>
      <c r="D15" s="71" t="n">
        <f aca="false">'TAHAP 1 – K-MEANS'!D12</f>
        <v>9</v>
      </c>
      <c r="E15" s="71" t="n">
        <f aca="false">'TAHAP 1 – K-MEANS'!E12</f>
        <v>8</v>
      </c>
      <c r="F15" s="71" t="n">
        <f aca="false">'TAHAP 1 – K-MEANS'!F12</f>
        <v>9</v>
      </c>
      <c r="G15" s="71" t="n">
        <f aca="false">'TAHAP 1 – K-MEANS'!G12</f>
        <v>9</v>
      </c>
      <c r="H15" s="71" t="n">
        <f aca="false">'TAHAP 1 – K-MEANS'!H12</f>
        <v>8</v>
      </c>
      <c r="I15" s="71" t="n">
        <f aca="false">'TAHAP 1 – K-MEANS'!I12</f>
        <v>9</v>
      </c>
      <c r="J15" s="71" t="n">
        <f aca="false">'TAHAP 1 – K-MEANS'!J12</f>
        <v>8</v>
      </c>
      <c r="K15" s="64" t="n">
        <f aca="false">(D15^C6)*(E15^D6)*(F15^E6)*(G15^F6)*(H15^G6)*(I15^H6)*(J15^I6)</f>
        <v>8.61874135428368</v>
      </c>
      <c r="L15" s="10" t="n">
        <f aca="false">RANK(K15,K9:K18,0)</f>
        <v>2</v>
      </c>
      <c r="M15" s="24" t="str">
        <f aca="false">'TAHAP 1 – K-MEANS'!M12</f>
        <v>K1</v>
      </c>
    </row>
    <row r="16" customFormat="false" ht="21.75" hidden="false" customHeight="true" outlineLevel="0" collapsed="false">
      <c r="B16" s="13" t="n">
        <v>8</v>
      </c>
      <c r="C16" s="14" t="str">
        <f aca="false">'TAHAP 1 – K-MEANS'!C13</f>
        <v>Hana Putri</v>
      </c>
      <c r="D16" s="72" t="n">
        <f aca="false">'TAHAP 1 – K-MEANS'!D13</f>
        <v>6</v>
      </c>
      <c r="E16" s="72" t="n">
        <f aca="false">'TAHAP 1 – K-MEANS'!E13</f>
        <v>6</v>
      </c>
      <c r="F16" s="72" t="n">
        <f aca="false">'TAHAP 1 – K-MEANS'!F13</f>
        <v>7</v>
      </c>
      <c r="G16" s="72" t="n">
        <f aca="false">'TAHAP 1 – K-MEANS'!G13</f>
        <v>6</v>
      </c>
      <c r="H16" s="72" t="n">
        <f aca="false">'TAHAP 1 – K-MEANS'!H13</f>
        <v>7</v>
      </c>
      <c r="I16" s="72" t="n">
        <f aca="false">'TAHAP 1 – K-MEANS'!I13</f>
        <v>6</v>
      </c>
      <c r="J16" s="72" t="n">
        <f aca="false">'TAHAP 1 – K-MEANS'!J13</f>
        <v>7</v>
      </c>
      <c r="K16" s="64" t="n">
        <f aca="false">(D16^C6)*(E16^D6)*(F16^E6)*(G16^F6)*(H16^G6)*(I16^H6)*(J16^I6)</f>
        <v>6.23663542448474</v>
      </c>
      <c r="L16" s="15" t="n">
        <f aca="false">RANK(K16,K9:K18,0)</f>
        <v>6</v>
      </c>
      <c r="M16" s="26" t="str">
        <f aca="false">'TAHAP 1 – K-MEANS'!M13</f>
        <v>K2</v>
      </c>
    </row>
    <row r="17" customFormat="false" ht="21.75" hidden="false" customHeight="true" outlineLevel="0" collapsed="false">
      <c r="B17" s="9" t="n">
        <v>9</v>
      </c>
      <c r="C17" s="5" t="str">
        <f aca="false">'TAHAP 1 – K-MEANS'!C14</f>
        <v>Indra Kusuma</v>
      </c>
      <c r="D17" s="71" t="n">
        <f aca="false">'TAHAP 1 – K-MEANS'!D14</f>
        <v>8</v>
      </c>
      <c r="E17" s="71" t="n">
        <f aca="false">'TAHAP 1 – K-MEANS'!E14</f>
        <v>9</v>
      </c>
      <c r="F17" s="71" t="n">
        <f aca="false">'TAHAP 1 – K-MEANS'!F14</f>
        <v>8</v>
      </c>
      <c r="G17" s="71" t="n">
        <f aca="false">'TAHAP 1 – K-MEANS'!G14</f>
        <v>8</v>
      </c>
      <c r="H17" s="71" t="n">
        <f aca="false">'TAHAP 1 – K-MEANS'!H14</f>
        <v>9</v>
      </c>
      <c r="I17" s="71" t="n">
        <f aca="false">'TAHAP 1 – K-MEANS'!I14</f>
        <v>9</v>
      </c>
      <c r="J17" s="71" t="n">
        <f aca="false">'TAHAP 1 – K-MEANS'!J14</f>
        <v>8</v>
      </c>
      <c r="K17" s="64" t="n">
        <f aca="false">(D17^C6)*(E17^D6)*(F17^E6)*(G17^F6)*(H17^G6)*(I17^H6)*(J17^I6)</f>
        <v>8.37874731852548</v>
      </c>
      <c r="L17" s="10" t="n">
        <f aca="false">RANK(K17,K9:K18,0)</f>
        <v>3</v>
      </c>
      <c r="M17" s="24" t="str">
        <f aca="false">'TAHAP 1 – K-MEANS'!M14</f>
        <v>K1</v>
      </c>
    </row>
    <row r="18" customFormat="false" ht="21.75" hidden="false" customHeight="true" outlineLevel="0" collapsed="false">
      <c r="B18" s="13" t="n">
        <v>10</v>
      </c>
      <c r="C18" s="14" t="str">
        <f aca="false">'TAHAP 1 – K-MEANS'!C15</f>
        <v>Joko Purnomo</v>
      </c>
      <c r="D18" s="72" t="n">
        <f aca="false">'TAHAP 1 – K-MEANS'!D15</f>
        <v>5</v>
      </c>
      <c r="E18" s="72" t="n">
        <f aca="false">'TAHAP 1 – K-MEANS'!E15</f>
        <v>4</v>
      </c>
      <c r="F18" s="72" t="n">
        <f aca="false">'TAHAP 1 – K-MEANS'!F15</f>
        <v>5</v>
      </c>
      <c r="G18" s="72" t="n">
        <f aca="false">'TAHAP 1 – K-MEANS'!G15</f>
        <v>4</v>
      </c>
      <c r="H18" s="72" t="n">
        <f aca="false">'TAHAP 1 – K-MEANS'!H15</f>
        <v>5</v>
      </c>
      <c r="I18" s="72" t="n">
        <f aca="false">'TAHAP 1 – K-MEANS'!I15</f>
        <v>4</v>
      </c>
      <c r="J18" s="72" t="n">
        <f aca="false">'TAHAP 1 – K-MEANS'!J15</f>
        <v>5</v>
      </c>
      <c r="K18" s="64" t="n">
        <f aca="false">(D18^C6)*(E18^D6)*(F18^E6)*(G18^F6)*(H18^G6)*(I18^H6)*(J18^I6)</f>
        <v>4.64405649343908</v>
      </c>
      <c r="L18" s="15" t="n">
        <f aca="false">RANK(K18,K9:K18,0)</f>
        <v>9</v>
      </c>
      <c r="M18" s="26" t="str">
        <f aca="false">'TAHAP 1 – K-MEANS'!M15</f>
        <v>K3</v>
      </c>
    </row>
    <row r="20" customFormat="false" ht="21.75" hidden="false" customHeight="true" outlineLevel="0" collapsed="false">
      <c r="B20" s="73" t="s">
        <v>120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</row>
  </sheetData>
  <mergeCells count="5">
    <mergeCell ref="B1:L1"/>
    <mergeCell ref="B2:L2"/>
    <mergeCell ref="B4:L4"/>
    <mergeCell ref="B7:L7"/>
    <mergeCell ref="B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9" min="3" style="0" width="10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15" hidden="false" customHeight="true" outlineLevel="0" collapsed="false">
      <c r="B1" s="6" t="s">
        <v>121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5" hidden="false" customHeight="true" outlineLevel="0" collapsed="false">
      <c r="B2" s="2" t="s">
        <v>122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true" outlineLevel="0" collapsed="false">
      <c r="B4" s="7" t="s">
        <v>123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Format="false" ht="39.75" hidden="false" customHeight="true" outlineLevel="0" collapsed="false">
      <c r="B5" s="8" t="s">
        <v>16</v>
      </c>
      <c r="C5" s="8" t="s">
        <v>17</v>
      </c>
      <c r="D5" s="8" t="s">
        <v>124</v>
      </c>
      <c r="E5" s="8" t="s">
        <v>125</v>
      </c>
      <c r="F5" s="8" t="s">
        <v>126</v>
      </c>
      <c r="G5" s="8" t="s">
        <v>127</v>
      </c>
      <c r="H5" s="8" t="s">
        <v>128</v>
      </c>
      <c r="I5" s="8" t="s">
        <v>129</v>
      </c>
      <c r="J5" s="8" t="s">
        <v>130</v>
      </c>
      <c r="K5" s="8" t="s">
        <v>131</v>
      </c>
      <c r="L5" s="8" t="s">
        <v>132</v>
      </c>
      <c r="M5" s="8" t="s">
        <v>133</v>
      </c>
      <c r="N5" s="8" t="s">
        <v>134</v>
      </c>
      <c r="O5" s="8" t="s">
        <v>27</v>
      </c>
    </row>
    <row r="6" customFormat="false" ht="21.75" hidden="false" customHeight="true" outlineLevel="0" collapsed="false">
      <c r="B6" s="9" t="n">
        <v>1</v>
      </c>
      <c r="C6" s="5" t="str">
        <f aca="false">'TAHAP 3 – WP'!C9</f>
        <v>Andi Setiawan</v>
      </c>
      <c r="D6" s="23" t="n">
        <f aca="false">'TAHAP 3 – WP'!D9/C16</f>
        <v>0.366294837196504</v>
      </c>
      <c r="E6" s="23" t="n">
        <f aca="false">'TAHAP 3 – WP'!E9/D16</f>
        <v>0.320507982546941</v>
      </c>
      <c r="F6" s="23" t="n">
        <f aca="false">'TAHAP 3 – WP'!F9/E16</f>
        <v>0.406578556307363</v>
      </c>
      <c r="G6" s="23" t="n">
        <f aca="false">'TAHAP 3 – WP'!G9/F16</f>
        <v>0.360667853866973</v>
      </c>
      <c r="H6" s="23" t="n">
        <f aca="false">'TAHAP 3 – WP'!H9/G16</f>
        <v>0.399704032515895</v>
      </c>
      <c r="I6" s="23" t="n">
        <f aca="false">'TAHAP 3 – WP'!I9/H16</f>
        <v>0.320507982546941</v>
      </c>
      <c r="J6" s="23" t="n">
        <f aca="false">'TAHAP 3 – WP'!J9/I16</f>
        <v>0.367840391897362</v>
      </c>
      <c r="K6" s="74" t="n">
        <f aca="false">SQRT((D20-D30)^2+(E20-E30)^2+(F20-F30)^2+(G20-G30)^2+(H20-H30)^2+(I20-I30)^2+(J20-J30)^2)</f>
        <v>0.0289038961264592</v>
      </c>
      <c r="L6" s="75" t="n">
        <f aca="false">SQRT((D20-D31)^2+(E20-E31)^2+(F20-F31)^2+(G20-G31)^2+(H20-H31)^2+(I20-I31)^2+(J20-J31)^2)</f>
        <v>0.0910145580466476</v>
      </c>
      <c r="M6" s="64" t="n">
        <f aca="false">L6/(K6+L6)</f>
        <v>0.75897040763438</v>
      </c>
      <c r="N6" s="10" t="n">
        <f aca="false">RANK(M6,M6:M15,0)</f>
        <v>4</v>
      </c>
      <c r="O6" s="76" t="str">
        <f aca="false">'TAHAP 3 – WP'!M9</f>
        <v>K1</v>
      </c>
    </row>
    <row r="7" customFormat="false" ht="21.75" hidden="false" customHeight="true" outlineLevel="0" collapsed="false">
      <c r="B7" s="13" t="n">
        <v>2</v>
      </c>
      <c r="C7" s="14" t="str">
        <f aca="false">'TAHAP 3 – WP'!C10</f>
        <v>Budi Santoso</v>
      </c>
      <c r="D7" s="25" t="n">
        <f aca="false">'TAHAP 3 – WP'!D10/C16</f>
        <v>0.228934273247815</v>
      </c>
      <c r="E7" s="25" t="n">
        <f aca="false">'TAHAP 3 – WP'!E10/D16</f>
        <v>0.274721127897378</v>
      </c>
      <c r="F7" s="25" t="n">
        <f aca="false">'TAHAP 3 – WP'!F10/E16</f>
        <v>0.225876975726313</v>
      </c>
      <c r="G7" s="25" t="n">
        <f aca="false">'TAHAP 3 – WP'!G10/F16</f>
        <v>0.27050089040023</v>
      </c>
      <c r="H7" s="25" t="n">
        <f aca="false">'TAHAP 3 – WP'!H10/G16</f>
        <v>0.222057795842164</v>
      </c>
      <c r="I7" s="25" t="n">
        <f aca="false">'TAHAP 3 – WP'!I10/H16</f>
        <v>0.274721127897378</v>
      </c>
      <c r="J7" s="25" t="n">
        <f aca="false">'TAHAP 3 – WP'!J10/I16</f>
        <v>0.229900244935851</v>
      </c>
      <c r="K7" s="74" t="n">
        <f aca="false">SQRT((D21-D30)^2+(E21-E30)^2+(F21-F30)^2+(G21-G30)^2+(H21-H30)^2+(I21-I30)^2+(J21-J30)^2)</f>
        <v>0.0882525915099202</v>
      </c>
      <c r="L7" s="75" t="n">
        <f aca="false">SQRT((D21-D31)^2+(E21-E31)^2+(F21-F31)^2+(G21-G31)^2+(H21-H31)^2+(I21-I31)^2+(J21-J31)^2)</f>
        <v>0.0300355920881947</v>
      </c>
      <c r="M7" s="64" t="n">
        <f aca="false">L7/(K7+L7)</f>
        <v>0.253918786936833</v>
      </c>
      <c r="N7" s="10" t="n">
        <f aca="false">RANK(M7,M6:M15,0)</f>
        <v>8</v>
      </c>
      <c r="O7" s="76" t="str">
        <f aca="false">'TAHAP 3 – WP'!M10</f>
        <v>K3</v>
      </c>
    </row>
    <row r="8" customFormat="false" ht="21.75" hidden="false" customHeight="true" outlineLevel="0" collapsed="false">
      <c r="B8" s="9" t="n">
        <v>3</v>
      </c>
      <c r="C8" s="5" t="str">
        <f aca="false">'TAHAP 3 – WP'!C11</f>
        <v>Citra Dewi</v>
      </c>
      <c r="D8" s="23" t="n">
        <f aca="false">'TAHAP 3 – WP'!D11/C16</f>
        <v>0.412081691846067</v>
      </c>
      <c r="E8" s="23" t="n">
        <f aca="false">'TAHAP 3 – WP'!E11/D16</f>
        <v>0.412081691846067</v>
      </c>
      <c r="F8" s="23" t="n">
        <f aca="false">'TAHAP 3 – WP'!F11/E16</f>
        <v>0.361403161162101</v>
      </c>
      <c r="G8" s="23" t="n">
        <f aca="false">'TAHAP 3 – WP'!G11/F16</f>
        <v>0.405751335600345</v>
      </c>
      <c r="H8" s="23" t="n">
        <f aca="false">'TAHAP 3 – WP'!H11/G16</f>
        <v>0.399704032515895</v>
      </c>
      <c r="I8" s="23" t="n">
        <f aca="false">'TAHAP 3 – WP'!I11/H16</f>
        <v>0.366294837196504</v>
      </c>
      <c r="J8" s="23" t="n">
        <f aca="false">'TAHAP 3 – WP'!J11/I16</f>
        <v>0.413820440884533</v>
      </c>
      <c r="K8" s="74" t="n">
        <f aca="false">SQRT((D22-D30)^2+(E22-E30)^2+(F22-F30)^2+(G22-G30)^2+(H22-H30)^2+(I22-I30)^2+(J22-J30)^2)</f>
        <v>0.00559649189081106</v>
      </c>
      <c r="L8" s="75" t="n">
        <f aca="false">SQRT((D22-D31)^2+(E22-E31)^2+(F22-F31)^2+(G22-G31)^2+(H22-H31)^2+(I22-I31)^2+(J22-J31)^2)</f>
        <v>0.114931534923837</v>
      </c>
      <c r="M8" s="64" t="n">
        <f aca="false">L8/(K8+L8)</f>
        <v>0.953566883664183</v>
      </c>
      <c r="N8" s="10" t="n">
        <f aca="false">RANK(M8,M6:M15,0)</f>
        <v>1</v>
      </c>
      <c r="O8" s="76" t="str">
        <f aca="false">'TAHAP 3 – WP'!M11</f>
        <v>K1</v>
      </c>
    </row>
    <row r="9" customFormat="false" ht="21.75" hidden="false" customHeight="true" outlineLevel="0" collapsed="false">
      <c r="B9" s="13" t="n">
        <v>4</v>
      </c>
      <c r="C9" s="14" t="str">
        <f aca="false">'TAHAP 3 – WP'!C12</f>
        <v>Dian Pratiwi</v>
      </c>
      <c r="D9" s="25" t="n">
        <f aca="false">'TAHAP 3 – WP'!D12/C16</f>
        <v>0.274721127897378</v>
      </c>
      <c r="E9" s="25" t="n">
        <f aca="false">'TAHAP 3 – WP'!E12/D16</f>
        <v>0.228934273247815</v>
      </c>
      <c r="F9" s="25" t="n">
        <f aca="false">'TAHAP 3 – WP'!F12/E16</f>
        <v>0.271052370871575</v>
      </c>
      <c r="G9" s="25" t="n">
        <f aca="false">'TAHAP 3 – WP'!G12/F16</f>
        <v>0.225417408666858</v>
      </c>
      <c r="H9" s="25" t="n">
        <f aca="false">'TAHAP 3 – WP'!H12/G16</f>
        <v>0.266469355010597</v>
      </c>
      <c r="I9" s="25" t="n">
        <f aca="false">'TAHAP 3 – WP'!I12/H16</f>
        <v>0.228934273247815</v>
      </c>
      <c r="J9" s="25" t="n">
        <f aca="false">'TAHAP 3 – WP'!J12/I16</f>
        <v>0.275880293923022</v>
      </c>
      <c r="K9" s="74" t="n">
        <f aca="false">SQRT((D23-D30)^2+(E23-E30)^2+(F23-F30)^2+(G23-G30)^2+(H23-H30)^2+(I23-I30)^2+(J23-J30)^2)</f>
        <v>0.0755157222377399</v>
      </c>
      <c r="L9" s="75" t="n">
        <f aca="false">SQRT((D23-D31)^2+(E23-E31)^2+(F23-F31)^2+(G23-G31)^2+(H23-H31)^2+(I23-I31)^2+(J23-J31)^2)</f>
        <v>0.0423803262206939</v>
      </c>
      <c r="M9" s="64" t="n">
        <f aca="false">L9/(K9+L9)</f>
        <v>0.359471982096464</v>
      </c>
      <c r="N9" s="10" t="n">
        <f aca="false">RANK(M9,M6:M15,0)</f>
        <v>7</v>
      </c>
      <c r="O9" s="76" t="str">
        <f aca="false">'TAHAP 3 – WP'!M12</f>
        <v>K2</v>
      </c>
    </row>
    <row r="10" customFormat="false" ht="21.75" hidden="false" customHeight="true" outlineLevel="0" collapsed="false">
      <c r="B10" s="9" t="n">
        <v>5</v>
      </c>
      <c r="C10" s="5" t="str">
        <f aca="false">'TAHAP 3 – WP'!C13</f>
        <v>Eko Wahyudi</v>
      </c>
      <c r="D10" s="23" t="n">
        <f aca="false">'TAHAP 3 – WP'!D13/C16</f>
        <v>0.320507982546941</v>
      </c>
      <c r="E10" s="23" t="n">
        <f aca="false">'TAHAP 3 – WP'!E13/D16</f>
        <v>0.366294837196504</v>
      </c>
      <c r="F10" s="23" t="n">
        <f aca="false">'TAHAP 3 – WP'!F13/E16</f>
        <v>0.316227766016838</v>
      </c>
      <c r="G10" s="23" t="n">
        <f aca="false">'TAHAP 3 – WP'!G13/F16</f>
        <v>0.360667853866973</v>
      </c>
      <c r="H10" s="23" t="n">
        <f aca="false">'TAHAP 3 – WP'!H13/G16</f>
        <v>0.310880914179029</v>
      </c>
      <c r="I10" s="23" t="n">
        <f aca="false">'TAHAP 3 – WP'!I13/H16</f>
        <v>0.366294837196504</v>
      </c>
      <c r="J10" s="23" t="n">
        <f aca="false">'TAHAP 3 – WP'!J13/I16</f>
        <v>0.321860342910192</v>
      </c>
      <c r="K10" s="74" t="n">
        <f aca="false">SQRT((D24-D30)^2+(E24-E30)^2+(F24-F30)^2+(G24-G30)^2+(H24-H30)^2+(I24-I30)^2+(J24-J30)^2)</f>
        <v>0.0423803262206939</v>
      </c>
      <c r="L10" s="75" t="n">
        <f aca="false">SQRT((D24-D31)^2+(E24-E31)^2+(F24-F31)^2+(G24-G31)^2+(H24-H31)^2+(I24-I31)^2+(J24-J31)^2)</f>
        <v>0.0755157222377399</v>
      </c>
      <c r="M10" s="64" t="n">
        <f aca="false">L10/(K10+L10)</f>
        <v>0.640528017903536</v>
      </c>
      <c r="N10" s="10" t="n">
        <f aca="false">RANK(M10,M6:M15,0)</f>
        <v>5</v>
      </c>
      <c r="O10" s="76" t="str">
        <f aca="false">'TAHAP 3 – WP'!M13</f>
        <v>K2</v>
      </c>
    </row>
    <row r="11" customFormat="false" ht="21.75" hidden="false" customHeight="true" outlineLevel="0" collapsed="false">
      <c r="B11" s="13" t="n">
        <v>6</v>
      </c>
      <c r="C11" s="14" t="str">
        <f aca="false">'TAHAP 3 – WP'!C14</f>
        <v>Fitri Handayani</v>
      </c>
      <c r="D11" s="25" t="n">
        <f aca="false">'TAHAP 3 – WP'!D14/C16</f>
        <v>0.183147418598252</v>
      </c>
      <c r="E11" s="25" t="n">
        <f aca="false">'TAHAP 3 – WP'!E14/D16</f>
        <v>0.228934273247815</v>
      </c>
      <c r="F11" s="25" t="n">
        <f aca="false">'TAHAP 3 – WP'!F14/E16</f>
        <v>0.18070158058105</v>
      </c>
      <c r="G11" s="25" t="n">
        <f aca="false">'TAHAP 3 – WP'!G14/F16</f>
        <v>0.225417408666858</v>
      </c>
      <c r="H11" s="25" t="n">
        <f aca="false">'TAHAP 3 – WP'!H14/G16</f>
        <v>0.177646236673731</v>
      </c>
      <c r="I11" s="25" t="n">
        <f aca="false">'TAHAP 3 – WP'!I14/H16</f>
        <v>0.228934273247815</v>
      </c>
      <c r="J11" s="25" t="n">
        <f aca="false">'TAHAP 3 – WP'!J14/I16</f>
        <v>0.183920195948681</v>
      </c>
      <c r="K11" s="74" t="n">
        <f aca="false">SQRT((D25-D30)^2+(E25-E30)^2+(F25-F30)^2+(G25-G30)^2+(H25-H30)^2+(I25-I30)^2+(J25-J30)^2)</f>
        <v>0.11137176995377</v>
      </c>
      <c r="L11" s="75" t="n">
        <f aca="false">SQRT((D25-D31)^2+(E25-E31)^2+(F25-F31)^2+(G25-G31)^2+(H25-H31)^2+(I25-I31)^2+(J25-J31)^2)</f>
        <v>0.0109922855305627</v>
      </c>
      <c r="M11" s="64" t="n">
        <f aca="false">L11/(K11+L11)</f>
        <v>0.0898326349764541</v>
      </c>
      <c r="N11" s="10" t="n">
        <f aca="false">RANK(M11,M6:M15,0)</f>
        <v>10</v>
      </c>
      <c r="O11" s="76" t="str">
        <f aca="false">'TAHAP 3 – WP'!M14</f>
        <v>K3</v>
      </c>
    </row>
    <row r="12" customFormat="false" ht="21.75" hidden="false" customHeight="true" outlineLevel="0" collapsed="false">
      <c r="B12" s="9" t="n">
        <v>7</v>
      </c>
      <c r="C12" s="5" t="str">
        <f aca="false">'TAHAP 3 – WP'!C15</f>
        <v>Galih Nugroho</v>
      </c>
      <c r="D12" s="23" t="n">
        <f aca="false">'TAHAP 3 – WP'!D15/C16</f>
        <v>0.412081691846067</v>
      </c>
      <c r="E12" s="23" t="n">
        <f aca="false">'TAHAP 3 – WP'!E15/D16</f>
        <v>0.366294837196504</v>
      </c>
      <c r="F12" s="23" t="n">
        <f aca="false">'TAHAP 3 – WP'!F15/E16</f>
        <v>0.406578556307363</v>
      </c>
      <c r="G12" s="23" t="n">
        <f aca="false">'TAHAP 3 – WP'!G15/F16</f>
        <v>0.405751335600345</v>
      </c>
      <c r="H12" s="23" t="n">
        <f aca="false">'TAHAP 3 – WP'!H15/G16</f>
        <v>0.355292473347462</v>
      </c>
      <c r="I12" s="23" t="n">
        <f aca="false">'TAHAP 3 – WP'!I15/H16</f>
        <v>0.412081691846067</v>
      </c>
      <c r="J12" s="23" t="n">
        <f aca="false">'TAHAP 3 – WP'!J15/I16</f>
        <v>0.367840391897362</v>
      </c>
      <c r="K12" s="74" t="n">
        <f aca="false">SQRT((D26-D30)^2+(E26-E30)^2+(F26-F30)^2+(G26-G30)^2+(H26-H30)^2+(I26-I30)^2+(J26-J30)^2)</f>
        <v>0.0116860706526312</v>
      </c>
      <c r="L12" s="75" t="n">
        <f aca="false">SQRT((D26-D31)^2+(E26-E31)^2+(F26-F31)^2+(G26-G31)^2+(H26-H31)^2+(I26-I31)^2+(J26-J31)^2)</f>
        <v>0.110734213265909</v>
      </c>
      <c r="M12" s="64" t="n">
        <f aca="false">L12/(K12+L12)</f>
        <v>0.90454138580166</v>
      </c>
      <c r="N12" s="10" t="n">
        <f aca="false">RANK(M12,M6:M15,0)</f>
        <v>2</v>
      </c>
      <c r="O12" s="76" t="str">
        <f aca="false">'TAHAP 3 – WP'!M15</f>
        <v>K1</v>
      </c>
    </row>
    <row r="13" customFormat="false" ht="21.75" hidden="false" customHeight="true" outlineLevel="0" collapsed="false">
      <c r="B13" s="13" t="n">
        <v>8</v>
      </c>
      <c r="C13" s="14" t="str">
        <f aca="false">'TAHAP 3 – WP'!C16</f>
        <v>Hana Putri</v>
      </c>
      <c r="D13" s="25" t="n">
        <f aca="false">'TAHAP 3 – WP'!D16/C16</f>
        <v>0.274721127897378</v>
      </c>
      <c r="E13" s="25" t="n">
        <f aca="false">'TAHAP 3 – WP'!E16/D16</f>
        <v>0.274721127897378</v>
      </c>
      <c r="F13" s="25" t="n">
        <f aca="false">'TAHAP 3 – WP'!F16/E16</f>
        <v>0.316227766016838</v>
      </c>
      <c r="G13" s="25" t="n">
        <f aca="false">'TAHAP 3 – WP'!G16/F16</f>
        <v>0.27050089040023</v>
      </c>
      <c r="H13" s="25" t="n">
        <f aca="false">'TAHAP 3 – WP'!H16/G16</f>
        <v>0.310880914179029</v>
      </c>
      <c r="I13" s="25" t="n">
        <f aca="false">'TAHAP 3 – WP'!I16/H16</f>
        <v>0.274721127897378</v>
      </c>
      <c r="J13" s="25" t="n">
        <f aca="false">'TAHAP 3 – WP'!J16/I16</f>
        <v>0.321860342910192</v>
      </c>
      <c r="K13" s="74" t="n">
        <f aca="false">SQRT((D27-D30)^2+(E27-E30)^2+(F27-F30)^2+(G27-G30)^2+(H27-H30)^2+(I27-I30)^2+(J27-J30)^2)</f>
        <v>0.0677882193973237</v>
      </c>
      <c r="L13" s="75" t="n">
        <f aca="false">SQRT((D27-D31)^2+(E27-E31)^2+(F27-F31)^2+(G27-G31)^2+(H27-H31)^2+(I27-I31)^2+(J27-J31)^2)</f>
        <v>0.049195043468408</v>
      </c>
      <c r="M13" s="64" t="n">
        <f aca="false">L13/(K13+L13)</f>
        <v>0.420530614921144</v>
      </c>
      <c r="N13" s="10" t="n">
        <f aca="false">RANK(M13,M6:M15,0)</f>
        <v>6</v>
      </c>
      <c r="O13" s="76" t="str">
        <f aca="false">'TAHAP 3 – WP'!M16</f>
        <v>K2</v>
      </c>
    </row>
    <row r="14" customFormat="false" ht="21.75" hidden="false" customHeight="true" outlineLevel="0" collapsed="false">
      <c r="B14" s="9" t="n">
        <v>9</v>
      </c>
      <c r="C14" s="5" t="str">
        <f aca="false">'TAHAP 3 – WP'!C17</f>
        <v>Indra Kusuma</v>
      </c>
      <c r="D14" s="23" t="n">
        <f aca="false">'TAHAP 3 – WP'!D17/C16</f>
        <v>0.366294837196504</v>
      </c>
      <c r="E14" s="23" t="n">
        <f aca="false">'TAHAP 3 – WP'!E17/D16</f>
        <v>0.412081691846067</v>
      </c>
      <c r="F14" s="23" t="n">
        <f aca="false">'TAHAP 3 – WP'!F17/E16</f>
        <v>0.361403161162101</v>
      </c>
      <c r="G14" s="23" t="n">
        <f aca="false">'TAHAP 3 – WP'!G17/F16</f>
        <v>0.360667853866973</v>
      </c>
      <c r="H14" s="23" t="n">
        <f aca="false">'TAHAP 3 – WP'!H17/G16</f>
        <v>0.399704032515895</v>
      </c>
      <c r="I14" s="23" t="n">
        <f aca="false">'TAHAP 3 – WP'!I17/H16</f>
        <v>0.412081691846067</v>
      </c>
      <c r="J14" s="23" t="n">
        <f aca="false">'TAHAP 3 – WP'!J17/I16</f>
        <v>0.367840391897362</v>
      </c>
      <c r="K14" s="74" t="n">
        <f aca="false">SQRT((D28-D30)^2+(E28-E30)^2+(F28-F30)^2+(G28-G30)^2+(H28-H30)^2+(I28-I30)^2+(J28-J30)^2)</f>
        <v>0.0199761567291288</v>
      </c>
      <c r="L14" s="75" t="n">
        <f aca="false">SQRT((D28-D31)^2+(E28-E31)^2+(F28-F31)^2+(G28-G31)^2+(H28-H31)^2+(I28-I31)^2+(J28-J31)^2)</f>
        <v>0.0994973500868434</v>
      </c>
      <c r="M14" s="64" t="n">
        <f aca="false">L14/(K14+L14)</f>
        <v>0.832798439909372</v>
      </c>
      <c r="N14" s="10" t="n">
        <f aca="false">RANK(M14,M6:M15,0)</f>
        <v>3</v>
      </c>
      <c r="O14" s="76" t="str">
        <f aca="false">'TAHAP 3 – WP'!M17</f>
        <v>K1</v>
      </c>
    </row>
    <row r="15" customFormat="false" ht="21.75" hidden="false" customHeight="true" outlineLevel="0" collapsed="false">
      <c r="B15" s="13" t="n">
        <v>10</v>
      </c>
      <c r="C15" s="14" t="str">
        <f aca="false">'TAHAP 3 – WP'!C18</f>
        <v>Joko Purnomo</v>
      </c>
      <c r="D15" s="25" t="n">
        <f aca="false">'TAHAP 3 – WP'!D18/C16</f>
        <v>0.228934273247815</v>
      </c>
      <c r="E15" s="25" t="n">
        <f aca="false">'TAHAP 3 – WP'!E18/D16</f>
        <v>0.183147418598252</v>
      </c>
      <c r="F15" s="25" t="n">
        <f aca="false">'TAHAP 3 – WP'!F18/E16</f>
        <v>0.225876975726313</v>
      </c>
      <c r="G15" s="25" t="n">
        <f aca="false">'TAHAP 3 – WP'!G18/F16</f>
        <v>0.180333926933486</v>
      </c>
      <c r="H15" s="25" t="n">
        <f aca="false">'TAHAP 3 – WP'!H18/G16</f>
        <v>0.222057795842164</v>
      </c>
      <c r="I15" s="25" t="n">
        <f aca="false">'TAHAP 3 – WP'!I18/H16</f>
        <v>0.183147418598252</v>
      </c>
      <c r="J15" s="25" t="n">
        <f aca="false">'TAHAP 3 – WP'!J18/I16</f>
        <v>0.229900244935851</v>
      </c>
      <c r="K15" s="74" t="n">
        <f aca="false">SQRT((D29-D30)^2+(E29-E30)^2+(F29-F30)^2+(G29-G30)^2+(H29-H30)^2+(I29-I30)^2+(J29-J30)^2)</f>
        <v>0.0985992158548105</v>
      </c>
      <c r="L15" s="75" t="n">
        <f aca="false">SQRT((D29-D31)^2+(E29-E31)^2+(F29-F31)^2+(G29-G31)^2+(H29-H31)^2+(I29-I31)^2+(J29-J31)^2)</f>
        <v>0.0204649805117609</v>
      </c>
      <c r="M15" s="64" t="n">
        <f aca="false">L15/(K15+L15)</f>
        <v>0.171881901833478</v>
      </c>
      <c r="N15" s="10" t="n">
        <f aca="false">RANK(M15,M6:M15,0)</f>
        <v>9</v>
      </c>
      <c r="O15" s="76" t="str">
        <f aca="false">'TAHAP 3 – WP'!M18</f>
        <v>K3</v>
      </c>
    </row>
    <row r="16" customFormat="false" ht="15" hidden="false" customHeight="true" outlineLevel="0" collapsed="false">
      <c r="B16" s="77" t="s">
        <v>135</v>
      </c>
      <c r="C16" s="65" t="n">
        <f aca="false">SQRT(SUMPRODUCT('TAHAP 3 – WP'!D9:D18,'TAHAP 3 – WP'!D9:D18))</f>
        <v>21.8403296678416</v>
      </c>
      <c r="D16" s="65" t="n">
        <f aca="false">SQRT(SUMPRODUCT('TAHAP 3 – WP'!E9:E18,'TAHAP 3 – WP'!E9:E18))</f>
        <v>21.8403296678416</v>
      </c>
      <c r="E16" s="65" t="n">
        <f aca="false">SQRT(SUMPRODUCT('TAHAP 3 – WP'!F9:F18,'TAHAP 3 – WP'!F9:F18))</f>
        <v>22.1359436211787</v>
      </c>
      <c r="F16" s="65" t="n">
        <f aca="false">SQRT(SUMPRODUCT('TAHAP 3 – WP'!G9:G18,'TAHAP 3 – WP'!G9:G18))</f>
        <v>22.1810730128188</v>
      </c>
      <c r="G16" s="65" t="n">
        <f aca="false">SQRT(SUMPRODUCT('TAHAP 3 – WP'!H9:H18,'TAHAP 3 – WP'!H9:H18))</f>
        <v>22.5166604983954</v>
      </c>
      <c r="H16" s="65" t="n">
        <f aca="false">SQRT(SUMPRODUCT('TAHAP 3 – WP'!I9:I18,'TAHAP 3 – WP'!I9:I18))</f>
        <v>21.8403296678416</v>
      </c>
      <c r="I16" s="65" t="n">
        <f aca="false">SQRT(SUMPRODUCT('TAHAP 3 – WP'!J9:J18,'TAHAP 3 – WP'!J9:J18))</f>
        <v>21.7485631709315</v>
      </c>
    </row>
    <row r="18" customFormat="false" ht="15" hidden="false" customHeight="true" outlineLevel="0" collapsed="false">
      <c r="B18" s="7" t="s">
        <v>136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customFormat="false" ht="39.75" hidden="false" customHeight="true" outlineLevel="0" collapsed="false">
      <c r="B19" s="8" t="s">
        <v>16</v>
      </c>
      <c r="C19" s="8" t="s">
        <v>17</v>
      </c>
      <c r="D19" s="8" t="s">
        <v>137</v>
      </c>
      <c r="E19" s="8" t="s">
        <v>138</v>
      </c>
      <c r="F19" s="8" t="s">
        <v>139</v>
      </c>
      <c r="G19" s="8" t="s">
        <v>140</v>
      </c>
      <c r="H19" s="8" t="s">
        <v>141</v>
      </c>
      <c r="I19" s="8" t="s">
        <v>142</v>
      </c>
      <c r="J19" s="8" t="s">
        <v>143</v>
      </c>
    </row>
    <row r="20" customFormat="false" ht="21.75" hidden="false" customHeight="true" outlineLevel="0" collapsed="false">
      <c r="B20" s="9" t="n">
        <v>1</v>
      </c>
      <c r="C20" s="5" t="str">
        <f aca="false">C6</f>
        <v>Andi Setiawan</v>
      </c>
      <c r="D20" s="23" t="n">
        <f aca="false">D6*'TAHAP 3 – WP'!C6</f>
        <v>0.153153848254786</v>
      </c>
      <c r="E20" s="23" t="n">
        <f aca="false">E6*'TAHAP 3 – WP'!D6</f>
        <v>0.0734654989274916</v>
      </c>
      <c r="F20" s="23" t="n">
        <f aca="false">F6*'TAHAP 3 – WP'!E6</f>
        <v>0.0457994068206282</v>
      </c>
      <c r="G20" s="23" t="n">
        <f aca="false">G6*'TAHAP 3 – WP'!F6</f>
        <v>0.0183463878937539</v>
      </c>
      <c r="H20" s="23" t="n">
        <f aca="false">H6*'TAHAP 3 – WP'!G6</f>
        <v>0.0450250199107945</v>
      </c>
      <c r="I20" s="23" t="n">
        <f aca="false">I6*'TAHAP 3 – WP'!H6</f>
        <v>0.0163035427410714</v>
      </c>
      <c r="J20" s="23" t="n">
        <f aca="false">J6*'TAHAP 3 – WP'!I6</f>
        <v>0.00943158470420091</v>
      </c>
    </row>
    <row r="21" customFormat="false" ht="21.75" hidden="false" customHeight="true" outlineLevel="0" collapsed="false">
      <c r="B21" s="13" t="n">
        <v>2</v>
      </c>
      <c r="C21" s="14" t="str">
        <f aca="false">C7</f>
        <v>Budi Santoso</v>
      </c>
      <c r="D21" s="25" t="n">
        <f aca="false">D7*'TAHAP 3 – WP'!C6</f>
        <v>0.0957211551592414</v>
      </c>
      <c r="E21" s="25" t="n">
        <f aca="false">E7*'TAHAP 3 – WP'!D6</f>
        <v>0.0629704276521357</v>
      </c>
      <c r="F21" s="25" t="n">
        <f aca="false">F7*'TAHAP 3 – WP'!E6</f>
        <v>0.025444114900349</v>
      </c>
      <c r="G21" s="25" t="n">
        <f aca="false">G7*'TAHAP 3 – WP'!F6</f>
        <v>0.0137597909203154</v>
      </c>
      <c r="H21" s="25" t="n">
        <f aca="false">H7*'TAHAP 3 – WP'!G6</f>
        <v>0.0250138999504414</v>
      </c>
      <c r="I21" s="25" t="n">
        <f aca="false">I7*'TAHAP 3 – WP'!H6</f>
        <v>0.0139744652066326</v>
      </c>
      <c r="J21" s="25" t="n">
        <f aca="false">J7*'TAHAP 3 – WP'!I6</f>
        <v>0.00589474044012557</v>
      </c>
    </row>
    <row r="22" customFormat="false" ht="21.75" hidden="false" customHeight="true" outlineLevel="0" collapsed="false">
      <c r="B22" s="9" t="n">
        <v>3</v>
      </c>
      <c r="C22" s="5" t="str">
        <f aca="false">C8</f>
        <v>Citra Dewi</v>
      </c>
      <c r="D22" s="23" t="n">
        <f aca="false">D8*'TAHAP 3 – WP'!C6</f>
        <v>0.172298079286635</v>
      </c>
      <c r="E22" s="23" t="n">
        <f aca="false">E8*'TAHAP 3 – WP'!D6</f>
        <v>0.0944556414782035</v>
      </c>
      <c r="F22" s="23" t="n">
        <f aca="false">F8*'TAHAP 3 – WP'!E6</f>
        <v>0.0407105838405584</v>
      </c>
      <c r="G22" s="23" t="n">
        <f aca="false">G8*'TAHAP 3 – WP'!F6</f>
        <v>0.0206396863804731</v>
      </c>
      <c r="H22" s="23" t="n">
        <f aca="false">H8*'TAHAP 3 – WP'!G6</f>
        <v>0.0450250199107945</v>
      </c>
      <c r="I22" s="23" t="n">
        <f aca="false">I8*'TAHAP 3 – WP'!H6</f>
        <v>0.0186326202755102</v>
      </c>
      <c r="J22" s="23" t="n">
        <f aca="false">J8*'TAHAP 3 – WP'!I6</f>
        <v>0.010610532792226</v>
      </c>
    </row>
    <row r="23" customFormat="false" ht="21.75" hidden="false" customHeight="true" outlineLevel="0" collapsed="false">
      <c r="B23" s="13" t="n">
        <v>4</v>
      </c>
      <c r="C23" s="14" t="str">
        <f aca="false">C9</f>
        <v>Dian Pratiwi</v>
      </c>
      <c r="D23" s="25" t="n">
        <f aca="false">D9*'TAHAP 3 – WP'!C6</f>
        <v>0.11486538619109</v>
      </c>
      <c r="E23" s="25" t="n">
        <f aca="false">E9*'TAHAP 3 – WP'!D6</f>
        <v>0.0524753563767797</v>
      </c>
      <c r="F23" s="25" t="n">
        <f aca="false">F9*'TAHAP 3 – WP'!E6</f>
        <v>0.0305329378804188</v>
      </c>
      <c r="G23" s="25" t="n">
        <f aca="false">G9*'TAHAP 3 – WP'!F6</f>
        <v>0.0114664924335962</v>
      </c>
      <c r="H23" s="25" t="n">
        <f aca="false">H9*'TAHAP 3 – WP'!G6</f>
        <v>0.0300166799405296</v>
      </c>
      <c r="I23" s="25" t="n">
        <f aca="false">I9*'TAHAP 3 – WP'!H6</f>
        <v>0.0116453876721938</v>
      </c>
      <c r="J23" s="25" t="n">
        <f aca="false">J9*'TAHAP 3 – WP'!I6</f>
        <v>0.00707368852815068</v>
      </c>
    </row>
    <row r="24" customFormat="false" ht="21.75" hidden="false" customHeight="true" outlineLevel="0" collapsed="false">
      <c r="B24" s="9" t="n">
        <v>5</v>
      </c>
      <c r="C24" s="5" t="str">
        <f aca="false">C10</f>
        <v>Eko Wahyudi</v>
      </c>
      <c r="D24" s="23" t="n">
        <f aca="false">D10*'TAHAP 3 – WP'!C6</f>
        <v>0.134009617222938</v>
      </c>
      <c r="E24" s="23" t="n">
        <f aca="false">E10*'TAHAP 3 – WP'!D6</f>
        <v>0.0839605702028476</v>
      </c>
      <c r="F24" s="23" t="n">
        <f aca="false">F10*'TAHAP 3 – WP'!E6</f>
        <v>0.0356217608604886</v>
      </c>
      <c r="G24" s="23" t="n">
        <f aca="false">G10*'TAHAP 3 – WP'!F6</f>
        <v>0.0183463878937539</v>
      </c>
      <c r="H24" s="23" t="n">
        <f aca="false">H10*'TAHAP 3 – WP'!G6</f>
        <v>0.0350194599306179</v>
      </c>
      <c r="I24" s="23" t="n">
        <f aca="false">I10*'TAHAP 3 – WP'!H6</f>
        <v>0.0186326202755102</v>
      </c>
      <c r="J24" s="23" t="n">
        <f aca="false">J10*'TAHAP 3 – WP'!I6</f>
        <v>0.0082526366161758</v>
      </c>
    </row>
    <row r="25" customFormat="false" ht="21.75" hidden="false" customHeight="true" outlineLevel="0" collapsed="false">
      <c r="B25" s="13" t="n">
        <v>6</v>
      </c>
      <c r="C25" s="14" t="str">
        <f aca="false">C11</f>
        <v>Fitri Handayani</v>
      </c>
      <c r="D25" s="25" t="n">
        <f aca="false">D11*'TAHAP 3 – WP'!C6</f>
        <v>0.0765769241273931</v>
      </c>
      <c r="E25" s="25" t="n">
        <f aca="false">E11*'TAHAP 3 – WP'!D6</f>
        <v>0.0524753563767797</v>
      </c>
      <c r="F25" s="25" t="n">
        <f aca="false">F11*'TAHAP 3 – WP'!E6</f>
        <v>0.0203552919202792</v>
      </c>
      <c r="G25" s="25" t="n">
        <f aca="false">G11*'TAHAP 3 – WP'!F6</f>
        <v>0.0114664924335962</v>
      </c>
      <c r="H25" s="25" t="n">
        <f aca="false">H11*'TAHAP 3 – WP'!G6</f>
        <v>0.0200111199603531</v>
      </c>
      <c r="I25" s="25" t="n">
        <f aca="false">I11*'TAHAP 3 – WP'!H6</f>
        <v>0.0116453876721938</v>
      </c>
      <c r="J25" s="25" t="n">
        <f aca="false">J11*'TAHAP 3 – WP'!I6</f>
        <v>0.00471579235210045</v>
      </c>
    </row>
    <row r="26" customFormat="false" ht="21.75" hidden="false" customHeight="true" outlineLevel="0" collapsed="false">
      <c r="B26" s="9" t="n">
        <v>7</v>
      </c>
      <c r="C26" s="5" t="str">
        <f aca="false">C12</f>
        <v>Galih Nugroho</v>
      </c>
      <c r="D26" s="23" t="n">
        <f aca="false">D12*'TAHAP 3 – WP'!C6</f>
        <v>0.172298079286635</v>
      </c>
      <c r="E26" s="23" t="n">
        <f aca="false">E12*'TAHAP 3 – WP'!D6</f>
        <v>0.0839605702028476</v>
      </c>
      <c r="F26" s="23" t="n">
        <f aca="false">F12*'TAHAP 3 – WP'!E6</f>
        <v>0.0457994068206282</v>
      </c>
      <c r="G26" s="23" t="n">
        <f aca="false">G12*'TAHAP 3 – WP'!F6</f>
        <v>0.0206396863804731</v>
      </c>
      <c r="H26" s="23" t="n">
        <f aca="false">H12*'TAHAP 3 – WP'!G6</f>
        <v>0.0400222399207062</v>
      </c>
      <c r="I26" s="23" t="n">
        <f aca="false">I12*'TAHAP 3 – WP'!H6</f>
        <v>0.0209616978099489</v>
      </c>
      <c r="J26" s="23" t="n">
        <f aca="false">J12*'TAHAP 3 – WP'!I6</f>
        <v>0.00943158470420091</v>
      </c>
    </row>
    <row r="27" customFormat="false" ht="21.75" hidden="false" customHeight="true" outlineLevel="0" collapsed="false">
      <c r="B27" s="13" t="n">
        <v>8</v>
      </c>
      <c r="C27" s="14" t="str">
        <f aca="false">C13</f>
        <v>Hana Putri</v>
      </c>
      <c r="D27" s="25" t="n">
        <f aca="false">D13*'TAHAP 3 – WP'!C6</f>
        <v>0.11486538619109</v>
      </c>
      <c r="E27" s="25" t="n">
        <f aca="false">E13*'TAHAP 3 – WP'!D6</f>
        <v>0.0629704276521357</v>
      </c>
      <c r="F27" s="25" t="n">
        <f aca="false">F13*'TAHAP 3 – WP'!E6</f>
        <v>0.0356217608604886</v>
      </c>
      <c r="G27" s="25" t="n">
        <f aca="false">G13*'TAHAP 3 – WP'!F6</f>
        <v>0.0137597909203154</v>
      </c>
      <c r="H27" s="25" t="n">
        <f aca="false">H13*'TAHAP 3 – WP'!G6</f>
        <v>0.0350194599306179</v>
      </c>
      <c r="I27" s="25" t="n">
        <f aca="false">I13*'TAHAP 3 – WP'!H6</f>
        <v>0.0139744652066326</v>
      </c>
      <c r="J27" s="25" t="n">
        <f aca="false">J13*'TAHAP 3 – WP'!I6</f>
        <v>0.0082526366161758</v>
      </c>
    </row>
    <row r="28" customFormat="false" ht="21.75" hidden="false" customHeight="true" outlineLevel="0" collapsed="false">
      <c r="B28" s="9" t="n">
        <v>9</v>
      </c>
      <c r="C28" s="5" t="str">
        <f aca="false">C14</f>
        <v>Indra Kusuma</v>
      </c>
      <c r="D28" s="23" t="n">
        <f aca="false">D14*'TAHAP 3 – WP'!C6</f>
        <v>0.153153848254786</v>
      </c>
      <c r="E28" s="23" t="n">
        <f aca="false">E14*'TAHAP 3 – WP'!D6</f>
        <v>0.0944556414782035</v>
      </c>
      <c r="F28" s="23" t="n">
        <f aca="false">F14*'TAHAP 3 – WP'!E6</f>
        <v>0.0407105838405584</v>
      </c>
      <c r="G28" s="23" t="n">
        <f aca="false">G14*'TAHAP 3 – WP'!F6</f>
        <v>0.0183463878937539</v>
      </c>
      <c r="H28" s="23" t="n">
        <f aca="false">H14*'TAHAP 3 – WP'!G6</f>
        <v>0.0450250199107945</v>
      </c>
      <c r="I28" s="23" t="n">
        <f aca="false">I14*'TAHAP 3 – WP'!H6</f>
        <v>0.0209616978099489</v>
      </c>
      <c r="J28" s="23" t="n">
        <f aca="false">J14*'TAHAP 3 – WP'!I6</f>
        <v>0.00943158470420091</v>
      </c>
    </row>
    <row r="29" customFormat="false" ht="21.75" hidden="false" customHeight="true" outlineLevel="0" collapsed="false">
      <c r="B29" s="13" t="n">
        <v>10</v>
      </c>
      <c r="C29" s="14" t="str">
        <f aca="false">C15</f>
        <v>Joko Purnomo</v>
      </c>
      <c r="D29" s="25" t="n">
        <f aca="false">D15*'TAHAP 3 – WP'!C6</f>
        <v>0.0957211551592414</v>
      </c>
      <c r="E29" s="25" t="n">
        <f aca="false">E15*'TAHAP 3 – WP'!D6</f>
        <v>0.0419802851014238</v>
      </c>
      <c r="F29" s="25" t="n">
        <f aca="false">F15*'TAHAP 3 – WP'!E6</f>
        <v>0.025444114900349</v>
      </c>
      <c r="G29" s="25" t="n">
        <f aca="false">G15*'TAHAP 3 – WP'!F6</f>
        <v>0.00917319394687694</v>
      </c>
      <c r="H29" s="25" t="n">
        <f aca="false">H15*'TAHAP 3 – WP'!G6</f>
        <v>0.0250138999504414</v>
      </c>
      <c r="I29" s="25" t="n">
        <f aca="false">I15*'TAHAP 3 – WP'!H6</f>
        <v>0.00931631013775508</v>
      </c>
      <c r="J29" s="25" t="n">
        <f aca="false">J15*'TAHAP 3 – WP'!I6</f>
        <v>0.00589474044012557</v>
      </c>
    </row>
    <row r="30" customFormat="false" ht="21.75" hidden="false" customHeight="true" outlineLevel="0" collapsed="false">
      <c r="B30" s="78" t="s">
        <v>144</v>
      </c>
      <c r="D30" s="75" t="n">
        <f aca="false">MAX(D20:D29)</f>
        <v>0.172298079286635</v>
      </c>
      <c r="E30" s="75" t="n">
        <f aca="false">MAX(E20:E29)</f>
        <v>0.0944556414782035</v>
      </c>
      <c r="F30" s="75" t="n">
        <f aca="false">MAX(F20:F29)</f>
        <v>0.0457994068206282</v>
      </c>
      <c r="G30" s="75" t="n">
        <f aca="false">MAX(G20:G29)</f>
        <v>0.0206396863804731</v>
      </c>
      <c r="H30" s="75" t="n">
        <f aca="false">MAX(H20:H29)</f>
        <v>0.0450250199107945</v>
      </c>
      <c r="I30" s="75" t="n">
        <f aca="false">MAX(I20:I29)</f>
        <v>0.0209616978099489</v>
      </c>
      <c r="J30" s="75" t="n">
        <f aca="false">MAX(J20:J29)</f>
        <v>0.010610532792226</v>
      </c>
    </row>
    <row r="31" customFormat="false" ht="21.75" hidden="false" customHeight="true" outlineLevel="0" collapsed="false">
      <c r="B31" s="79" t="s">
        <v>145</v>
      </c>
      <c r="D31" s="74" t="n">
        <f aca="false">MIN(D20:D29)</f>
        <v>0.0765769241273931</v>
      </c>
      <c r="E31" s="74" t="n">
        <f aca="false">MIN(E20:E29)</f>
        <v>0.0419802851014238</v>
      </c>
      <c r="F31" s="74" t="n">
        <f aca="false">MIN(F20:F29)</f>
        <v>0.0203552919202792</v>
      </c>
      <c r="G31" s="74" t="n">
        <f aca="false">MIN(G20:G29)</f>
        <v>0.00917319394687694</v>
      </c>
      <c r="H31" s="74" t="n">
        <f aca="false">MIN(H20:H29)</f>
        <v>0.0200111199603531</v>
      </c>
      <c r="I31" s="74" t="n">
        <f aca="false">MIN(I20:I29)</f>
        <v>0.00931631013775508</v>
      </c>
      <c r="J31" s="74" t="n">
        <f aca="false">MIN(J20:J29)</f>
        <v>0.00471579235210045</v>
      </c>
    </row>
    <row r="33" customFormat="false" ht="15" hidden="false" customHeight="true" outlineLevel="0" collapsed="false">
      <c r="B33" s="7" t="s">
        <v>146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customFormat="false" ht="34.5" hidden="false" customHeight="true" outlineLevel="0" collapsed="false">
      <c r="B34" s="8" t="s">
        <v>16</v>
      </c>
      <c r="C34" s="8" t="s">
        <v>17</v>
      </c>
      <c r="D34" s="8" t="s">
        <v>118</v>
      </c>
      <c r="E34" s="8" t="s">
        <v>147</v>
      </c>
      <c r="F34" s="8" t="s">
        <v>148</v>
      </c>
      <c r="G34" s="8" t="s">
        <v>149</v>
      </c>
    </row>
    <row r="35" customFormat="false" ht="21.75" hidden="false" customHeight="true" outlineLevel="0" collapsed="false">
      <c r="B35" s="9" t="n">
        <v>1</v>
      </c>
      <c r="C35" s="5" t="str">
        <f aca="false">'TAHAP 3 – WP'!C9</f>
        <v>Andi Setiawan</v>
      </c>
      <c r="D35" s="71" t="n">
        <f aca="false">'TAHAP 3 – WP'!L9</f>
        <v>4</v>
      </c>
      <c r="E35" s="71" t="n">
        <f aca="false">N6</f>
        <v>4</v>
      </c>
      <c r="F35" s="71" t="n">
        <f aca="false">ABS(D35-E35)</f>
        <v>0</v>
      </c>
      <c r="G35" s="12" t="str">
        <f aca="false">IF(F35&lt;=1,"✔ YA","✘ TIDAK")</f>
        <v>✔ YA</v>
      </c>
    </row>
    <row r="36" customFormat="false" ht="21.75" hidden="false" customHeight="true" outlineLevel="0" collapsed="false">
      <c r="B36" s="13" t="n">
        <v>2</v>
      </c>
      <c r="C36" s="14" t="str">
        <f aca="false">'TAHAP 3 – WP'!C10</f>
        <v>Budi Santoso</v>
      </c>
      <c r="D36" s="72" t="n">
        <f aca="false">'TAHAP 3 – WP'!L10</f>
        <v>8</v>
      </c>
      <c r="E36" s="72" t="n">
        <f aca="false">N7</f>
        <v>8</v>
      </c>
      <c r="F36" s="72" t="n">
        <f aca="false">ABS(D36-E36)</f>
        <v>0</v>
      </c>
      <c r="G36" s="12" t="str">
        <f aca="false">IF(F36&lt;=1,"✔ YA","✘ TIDAK")</f>
        <v>✔ YA</v>
      </c>
    </row>
    <row r="37" customFormat="false" ht="21.75" hidden="false" customHeight="true" outlineLevel="0" collapsed="false">
      <c r="B37" s="9" t="n">
        <v>3</v>
      </c>
      <c r="C37" s="5" t="str">
        <f aca="false">'TAHAP 3 – WP'!C11</f>
        <v>Citra Dewi</v>
      </c>
      <c r="D37" s="71" t="n">
        <f aca="false">'TAHAP 3 – WP'!L11</f>
        <v>1</v>
      </c>
      <c r="E37" s="71" t="n">
        <f aca="false">N8</f>
        <v>1</v>
      </c>
      <c r="F37" s="71" t="n">
        <f aca="false">ABS(D37-E37)</f>
        <v>0</v>
      </c>
      <c r="G37" s="12" t="str">
        <f aca="false">IF(F37&lt;=1,"✔ YA","✘ TIDAK")</f>
        <v>✔ YA</v>
      </c>
    </row>
    <row r="38" customFormat="false" ht="21.75" hidden="false" customHeight="true" outlineLevel="0" collapsed="false">
      <c r="B38" s="13" t="n">
        <v>4</v>
      </c>
      <c r="C38" s="14" t="str">
        <f aca="false">'TAHAP 3 – WP'!C12</f>
        <v>Dian Pratiwi</v>
      </c>
      <c r="D38" s="72" t="n">
        <f aca="false">'TAHAP 3 – WP'!L12</f>
        <v>7</v>
      </c>
      <c r="E38" s="72" t="n">
        <f aca="false">N9</f>
        <v>7</v>
      </c>
      <c r="F38" s="72" t="n">
        <f aca="false">ABS(D38-E38)</f>
        <v>0</v>
      </c>
      <c r="G38" s="12" t="str">
        <f aca="false">IF(F38&lt;=1,"✔ YA","✘ TIDAK")</f>
        <v>✔ YA</v>
      </c>
    </row>
    <row r="39" customFormat="false" ht="21.75" hidden="false" customHeight="true" outlineLevel="0" collapsed="false">
      <c r="B39" s="9" t="n">
        <v>5</v>
      </c>
      <c r="C39" s="5" t="str">
        <f aca="false">'TAHAP 3 – WP'!C13</f>
        <v>Eko Wahyudi</v>
      </c>
      <c r="D39" s="71" t="n">
        <f aca="false">'TAHAP 3 – WP'!L13</f>
        <v>5</v>
      </c>
      <c r="E39" s="71" t="n">
        <f aca="false">N10</f>
        <v>5</v>
      </c>
      <c r="F39" s="71" t="n">
        <f aca="false">ABS(D39-E39)</f>
        <v>0</v>
      </c>
      <c r="G39" s="12" t="str">
        <f aca="false">IF(F39&lt;=1,"✔ YA","✘ TIDAK")</f>
        <v>✔ YA</v>
      </c>
    </row>
    <row r="40" customFormat="false" ht="21.75" hidden="false" customHeight="true" outlineLevel="0" collapsed="false">
      <c r="B40" s="13" t="n">
        <v>6</v>
      </c>
      <c r="C40" s="14" t="str">
        <f aca="false">'TAHAP 3 – WP'!C14</f>
        <v>Fitri Handayani</v>
      </c>
      <c r="D40" s="72" t="n">
        <f aca="false">'TAHAP 3 – WP'!L14</f>
        <v>10</v>
      </c>
      <c r="E40" s="72" t="n">
        <f aca="false">N11</f>
        <v>10</v>
      </c>
      <c r="F40" s="72" t="n">
        <f aca="false">ABS(D40-E40)</f>
        <v>0</v>
      </c>
      <c r="G40" s="12" t="str">
        <f aca="false">IF(F40&lt;=1,"✔ YA","✘ TIDAK")</f>
        <v>✔ YA</v>
      </c>
    </row>
    <row r="41" customFormat="false" ht="21.75" hidden="false" customHeight="true" outlineLevel="0" collapsed="false">
      <c r="B41" s="9" t="n">
        <v>7</v>
      </c>
      <c r="C41" s="5" t="str">
        <f aca="false">'TAHAP 3 – WP'!C15</f>
        <v>Galih Nugroho</v>
      </c>
      <c r="D41" s="71" t="n">
        <f aca="false">'TAHAP 3 – WP'!L15</f>
        <v>2</v>
      </c>
      <c r="E41" s="71" t="n">
        <f aca="false">N12</f>
        <v>2</v>
      </c>
      <c r="F41" s="71" t="n">
        <f aca="false">ABS(D41-E41)</f>
        <v>0</v>
      </c>
      <c r="G41" s="12" t="str">
        <f aca="false">IF(F41&lt;=1,"✔ YA","✘ TIDAK")</f>
        <v>✔ YA</v>
      </c>
    </row>
    <row r="42" customFormat="false" ht="21.75" hidden="false" customHeight="true" outlineLevel="0" collapsed="false">
      <c r="B42" s="13" t="n">
        <v>8</v>
      </c>
      <c r="C42" s="14" t="str">
        <f aca="false">'TAHAP 3 – WP'!C16</f>
        <v>Hana Putri</v>
      </c>
      <c r="D42" s="72" t="n">
        <f aca="false">'TAHAP 3 – WP'!L16</f>
        <v>6</v>
      </c>
      <c r="E42" s="72" t="n">
        <f aca="false">N13</f>
        <v>6</v>
      </c>
      <c r="F42" s="72" t="n">
        <f aca="false">ABS(D42-E42)</f>
        <v>0</v>
      </c>
      <c r="G42" s="12" t="str">
        <f aca="false">IF(F42&lt;=1,"✔ YA","✘ TIDAK")</f>
        <v>✔ YA</v>
      </c>
    </row>
    <row r="43" customFormat="false" ht="21.75" hidden="false" customHeight="true" outlineLevel="0" collapsed="false">
      <c r="B43" s="9" t="n">
        <v>9</v>
      </c>
      <c r="C43" s="5" t="str">
        <f aca="false">'TAHAP 3 – WP'!C17</f>
        <v>Indra Kusuma</v>
      </c>
      <c r="D43" s="71" t="n">
        <f aca="false">'TAHAP 3 – WP'!L17</f>
        <v>3</v>
      </c>
      <c r="E43" s="71" t="n">
        <f aca="false">N14</f>
        <v>3</v>
      </c>
      <c r="F43" s="71" t="n">
        <f aca="false">ABS(D43-E43)</f>
        <v>0</v>
      </c>
      <c r="G43" s="12" t="str">
        <f aca="false">IF(F43&lt;=1,"✔ YA","✘ TIDAK")</f>
        <v>✔ YA</v>
      </c>
    </row>
    <row r="44" customFormat="false" ht="21.75" hidden="false" customHeight="true" outlineLevel="0" collapsed="false">
      <c r="B44" s="13" t="n">
        <v>10</v>
      </c>
      <c r="C44" s="14" t="str">
        <f aca="false">'TAHAP 3 – WP'!C18</f>
        <v>Joko Purnomo</v>
      </c>
      <c r="D44" s="72" t="n">
        <f aca="false">'TAHAP 3 – WP'!L18</f>
        <v>9</v>
      </c>
      <c r="E44" s="72" t="n">
        <f aca="false">N15</f>
        <v>9</v>
      </c>
      <c r="F44" s="72" t="n">
        <f aca="false">ABS(D44-E44)</f>
        <v>0</v>
      </c>
      <c r="G44" s="12" t="str">
        <f aca="false">IF(F44&lt;=1,"✔ YA","✘ TIDAK")</f>
        <v>✔ YA</v>
      </c>
    </row>
    <row r="46" customFormat="false" ht="21.75" hidden="false" customHeight="true" outlineLevel="0" collapsed="false">
      <c r="B46" s="73" t="s">
        <v>150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</row>
    <row r="47" customFormat="false" ht="15" hidden="false" customHeight="true" outlineLevel="0" collapsed="false">
      <c r="H47" s="80" t="n">
        <f aca="false">COUNTIF(G35:G44,"✔ YA")/10</f>
        <v>1</v>
      </c>
    </row>
  </sheetData>
  <mergeCells count="6">
    <mergeCell ref="B1:N1"/>
    <mergeCell ref="B2:N2"/>
    <mergeCell ref="B4:N4"/>
    <mergeCell ref="B18:N18"/>
    <mergeCell ref="B33:N33"/>
    <mergeCell ref="B46:N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6" activeCellId="0" sqref="O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6" min="3" style="0" width="13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20"/>
  </cols>
  <sheetData>
    <row r="1" customFormat="false" ht="15" hidden="false" customHeight="true" outlineLevel="0" collapsed="false">
      <c r="B1" s="6" t="s">
        <v>151</v>
      </c>
      <c r="C1" s="6"/>
      <c r="D1" s="6"/>
      <c r="E1" s="6"/>
      <c r="F1" s="6"/>
      <c r="G1" s="6"/>
      <c r="H1" s="6"/>
      <c r="I1" s="6"/>
    </row>
    <row r="2" customFormat="false" ht="15" hidden="false" customHeight="true" outlineLevel="0" collapsed="false">
      <c r="B2" s="81" t="s">
        <v>152</v>
      </c>
      <c r="C2" s="81"/>
      <c r="D2" s="81"/>
      <c r="E2" s="81"/>
      <c r="F2" s="81"/>
      <c r="G2" s="81"/>
      <c r="H2" s="81"/>
      <c r="I2" s="81"/>
    </row>
    <row r="4" customFormat="false" ht="15" hidden="false" customHeight="true" outlineLevel="0" collapsed="false">
      <c r="B4" s="7" t="s">
        <v>153</v>
      </c>
      <c r="C4" s="7"/>
      <c r="D4" s="7"/>
      <c r="E4" s="7"/>
      <c r="F4" s="7"/>
      <c r="G4" s="7"/>
      <c r="H4" s="7"/>
      <c r="I4" s="7"/>
    </row>
    <row r="5" customFormat="false" ht="45" hidden="false" customHeight="true" outlineLevel="0" collapsed="false">
      <c r="B5" s="8" t="s">
        <v>16</v>
      </c>
      <c r="C5" s="8" t="s">
        <v>17</v>
      </c>
      <c r="D5" s="8" t="s">
        <v>154</v>
      </c>
      <c r="E5" s="8" t="s">
        <v>118</v>
      </c>
      <c r="F5" s="8" t="s">
        <v>155</v>
      </c>
      <c r="G5" s="8" t="s">
        <v>147</v>
      </c>
      <c r="H5" s="8" t="s">
        <v>27</v>
      </c>
      <c r="I5" s="8" t="s">
        <v>156</v>
      </c>
      <c r="J5" s="8" t="s">
        <v>157</v>
      </c>
      <c r="K5" s="8" t="s">
        <v>158</v>
      </c>
    </row>
    <row r="6" customFormat="false" ht="24.75" hidden="false" customHeight="true" outlineLevel="0" collapsed="false">
      <c r="B6" s="9" t="n">
        <v>1</v>
      </c>
      <c r="C6" s="5" t="str">
        <f aca="false">'TAHAP 3 – WP'!C9</f>
        <v>Andi Setiawan</v>
      </c>
      <c r="D6" s="23" t="n">
        <f aca="false">'TAHAP 3 – WP'!K9</f>
        <v>7.91355518476562</v>
      </c>
      <c r="E6" s="71" t="n">
        <f aca="false">'TAHAP 3 – WP'!L9</f>
        <v>4</v>
      </c>
      <c r="F6" s="23" t="n">
        <f aca="false">'TAHAP 4 – TOPSIS'!M6</f>
        <v>0.75897040763438</v>
      </c>
      <c r="G6" s="71" t="n">
        <f aca="false">'TAHAP 4 – TOPSIS'!N6</f>
        <v>4</v>
      </c>
      <c r="H6" s="24" t="str">
        <f aca="false">'TAHAP 3 – WP'!M9</f>
        <v>K1</v>
      </c>
      <c r="I6" s="82" t="n">
        <f aca="false">(D6+F6)/2</f>
        <v>4.3362627962</v>
      </c>
      <c r="J6" s="83" t="n">
        <f aca="false">RANK(I6,I6:I15,0)</f>
        <v>4</v>
      </c>
      <c r="K6" s="84" t="str">
        <f aca="false">IF(H6="K1","Promosi / Pengembangan Lanjut",IF(H6="K2","Pertahankan &amp; Tingkatkan","Perlu Pembinaan Intensif"))</f>
        <v>Promosi / Pengembangan Lanjut</v>
      </c>
    </row>
    <row r="7" customFormat="false" ht="24.75" hidden="false" customHeight="true" outlineLevel="0" collapsed="false">
      <c r="B7" s="13" t="n">
        <v>2</v>
      </c>
      <c r="C7" s="14" t="str">
        <f aca="false">'TAHAP 3 – WP'!C10</f>
        <v>Budi Santoso</v>
      </c>
      <c r="D7" s="25" t="n">
        <f aca="false">'TAHAP 3 – WP'!K10</f>
        <v>5.31098595880632</v>
      </c>
      <c r="E7" s="72" t="n">
        <f aca="false">'TAHAP 3 – WP'!L10</f>
        <v>8</v>
      </c>
      <c r="F7" s="25" t="n">
        <f aca="false">'TAHAP 4 – TOPSIS'!M7</f>
        <v>0.253918786936833</v>
      </c>
      <c r="G7" s="72" t="n">
        <f aca="false">'TAHAP 4 – TOPSIS'!N7</f>
        <v>8</v>
      </c>
      <c r="H7" s="26" t="str">
        <f aca="false">'TAHAP 3 – WP'!M10</f>
        <v>K3</v>
      </c>
      <c r="I7" s="82" t="n">
        <f aca="false">(D7+F7)/2</f>
        <v>2.78245237287157</v>
      </c>
      <c r="J7" s="83" t="n">
        <f aca="false">RANK(I7,I6:I15,0)</f>
        <v>8</v>
      </c>
      <c r="K7" s="85" t="str">
        <f aca="false">IF(H7="K1","Promosi / Pengembangan Lanjut",IF(H7="K2","Pertahankan &amp; Tingkatkan","Perlu Pembinaan Intensif"))</f>
        <v>Perlu Pembinaan Intensif</v>
      </c>
    </row>
    <row r="8" customFormat="false" ht="24.75" hidden="false" customHeight="true" outlineLevel="0" collapsed="false">
      <c r="B8" s="9" t="n">
        <v>3</v>
      </c>
      <c r="C8" s="5" t="str">
        <f aca="false">'TAHAP 3 – WP'!C11</f>
        <v>Citra Dewi</v>
      </c>
      <c r="D8" s="23" t="n">
        <f aca="false">'TAHAP 3 – WP'!K11</f>
        <v>8.82832617111375</v>
      </c>
      <c r="E8" s="71" t="n">
        <f aca="false">'TAHAP 3 – WP'!L11</f>
        <v>1</v>
      </c>
      <c r="F8" s="23" t="n">
        <f aca="false">'TAHAP 4 – TOPSIS'!M8</f>
        <v>0.953566883664183</v>
      </c>
      <c r="G8" s="71" t="n">
        <f aca="false">'TAHAP 4 – TOPSIS'!N8</f>
        <v>1</v>
      </c>
      <c r="H8" s="24" t="str">
        <f aca="false">'TAHAP 3 – WP'!M11</f>
        <v>K1</v>
      </c>
      <c r="I8" s="82" t="n">
        <f aca="false">(D8+F8)/2</f>
        <v>4.89094652738897</v>
      </c>
      <c r="J8" s="83" t="n">
        <f aca="false">RANK(I8,I6:I15,0)</f>
        <v>1</v>
      </c>
      <c r="K8" s="84" t="str">
        <f aca="false">IF(H8="K1","Promosi / Pengembangan Lanjut",IF(H8="K2","Pertahankan &amp; Tingkatkan","Perlu Pembinaan Intensif"))</f>
        <v>Promosi / Pengembangan Lanjut</v>
      </c>
    </row>
    <row r="9" customFormat="false" ht="24.75" hidden="false" customHeight="true" outlineLevel="0" collapsed="false">
      <c r="B9" s="13" t="n">
        <v>4</v>
      </c>
      <c r="C9" s="14" t="str">
        <f aca="false">'TAHAP 3 – WP'!C12</f>
        <v>Dian Pratiwi</v>
      </c>
      <c r="D9" s="25" t="n">
        <f aca="false">'TAHAP 3 – WP'!K12</f>
        <v>5.64866867144622</v>
      </c>
      <c r="E9" s="72" t="n">
        <f aca="false">'TAHAP 3 – WP'!L12</f>
        <v>7</v>
      </c>
      <c r="F9" s="25" t="n">
        <f aca="false">'TAHAP 4 – TOPSIS'!M9</f>
        <v>0.359471982096464</v>
      </c>
      <c r="G9" s="72" t="n">
        <f aca="false">'TAHAP 4 – TOPSIS'!N9</f>
        <v>7</v>
      </c>
      <c r="H9" s="26" t="str">
        <f aca="false">'TAHAP 3 – WP'!M12</f>
        <v>K2</v>
      </c>
      <c r="I9" s="82" t="n">
        <f aca="false">(D9+F9)/2</f>
        <v>3.00407032677134</v>
      </c>
      <c r="J9" s="83" t="n">
        <f aca="false">RANK(I9,I6:I15,0)</f>
        <v>7</v>
      </c>
      <c r="K9" s="85" t="str">
        <f aca="false">IF(H9="K1","Promosi / Pengembangan Lanjut",IF(H9="K2","Pertahankan &amp; Tingkatkan","Perlu Pembinaan Intensif"))</f>
        <v>Pertahankan &amp; Tingkatkan</v>
      </c>
    </row>
    <row r="10" customFormat="false" ht="24.75" hidden="false" customHeight="true" outlineLevel="0" collapsed="false">
      <c r="B10" s="9" t="n">
        <v>5</v>
      </c>
      <c r="C10" s="5" t="str">
        <f aca="false">'TAHAP 3 – WP'!C13</f>
        <v>Eko Wahyudi</v>
      </c>
      <c r="D10" s="23" t="n">
        <f aca="false">'TAHAP 3 – WP'!K13</f>
        <v>7.31628406913868</v>
      </c>
      <c r="E10" s="71" t="n">
        <f aca="false">'TAHAP 3 – WP'!L13</f>
        <v>5</v>
      </c>
      <c r="F10" s="23" t="n">
        <f aca="false">'TAHAP 4 – TOPSIS'!M10</f>
        <v>0.640528017903536</v>
      </c>
      <c r="G10" s="71" t="n">
        <f aca="false">'TAHAP 4 – TOPSIS'!N10</f>
        <v>5</v>
      </c>
      <c r="H10" s="24" t="str">
        <f aca="false">'TAHAP 3 – WP'!M13</f>
        <v>K2</v>
      </c>
      <c r="I10" s="82" t="n">
        <f aca="false">(D10+F10)/2</f>
        <v>3.97840604352111</v>
      </c>
      <c r="J10" s="83" t="n">
        <f aca="false">RANK(I10,I6:I15,0)</f>
        <v>5</v>
      </c>
      <c r="K10" s="84" t="str">
        <f aca="false">IF(H10="K1","Promosi / Pengembangan Lanjut",IF(H10="K2","Pertahankan &amp; Tingkatkan","Perlu Pembinaan Intensif"))</f>
        <v>Pertahankan &amp; Tingkatkan</v>
      </c>
    </row>
    <row r="11" customFormat="false" ht="24.75" hidden="false" customHeight="true" outlineLevel="0" collapsed="false">
      <c r="B11" s="13" t="n">
        <v>6</v>
      </c>
      <c r="C11" s="14" t="str">
        <f aca="false">'TAHAP 3 – WP'!C14</f>
        <v>Fitri Handayani</v>
      </c>
      <c r="D11" s="25" t="n">
        <f aca="false">'TAHAP 3 – WP'!K14</f>
        <v>4.30657982482667</v>
      </c>
      <c r="E11" s="72" t="n">
        <f aca="false">'TAHAP 3 – WP'!L14</f>
        <v>10</v>
      </c>
      <c r="F11" s="25" t="n">
        <f aca="false">'TAHAP 4 – TOPSIS'!M11</f>
        <v>0.0898326349764541</v>
      </c>
      <c r="G11" s="72" t="n">
        <f aca="false">'TAHAP 4 – TOPSIS'!N11</f>
        <v>10</v>
      </c>
      <c r="H11" s="26" t="str">
        <f aca="false">'TAHAP 3 – WP'!M14</f>
        <v>K3</v>
      </c>
      <c r="I11" s="82" t="n">
        <f aca="false">(D11+F11)/2</f>
        <v>2.19820622990156</v>
      </c>
      <c r="J11" s="83" t="n">
        <f aca="false">RANK(I11,I6:I15,0)</f>
        <v>10</v>
      </c>
      <c r="K11" s="85" t="str">
        <f aca="false">IF(H11="K1","Promosi / Pengembangan Lanjut",IF(H11="K2","Pertahankan &amp; Tingkatkan","Perlu Pembinaan Intensif"))</f>
        <v>Perlu Pembinaan Intensif</v>
      </c>
    </row>
    <row r="12" customFormat="false" ht="24.75" hidden="false" customHeight="true" outlineLevel="0" collapsed="false">
      <c r="B12" s="9" t="n">
        <v>7</v>
      </c>
      <c r="C12" s="5" t="str">
        <f aca="false">'TAHAP 3 – WP'!C15</f>
        <v>Galih Nugroho</v>
      </c>
      <c r="D12" s="23" t="n">
        <f aca="false">'TAHAP 3 – WP'!K15</f>
        <v>8.61874135428368</v>
      </c>
      <c r="E12" s="71" t="n">
        <f aca="false">'TAHAP 3 – WP'!L15</f>
        <v>2</v>
      </c>
      <c r="F12" s="23" t="n">
        <f aca="false">'TAHAP 4 – TOPSIS'!M12</f>
        <v>0.90454138580166</v>
      </c>
      <c r="G12" s="71" t="n">
        <f aca="false">'TAHAP 4 – TOPSIS'!N12</f>
        <v>2</v>
      </c>
      <c r="H12" s="24" t="str">
        <f aca="false">'TAHAP 3 – WP'!M15</f>
        <v>K1</v>
      </c>
      <c r="I12" s="82" t="n">
        <f aca="false">(D12+F12)/2</f>
        <v>4.76164137004267</v>
      </c>
      <c r="J12" s="83" t="n">
        <f aca="false">RANK(I12,I6:I15,0)</f>
        <v>2</v>
      </c>
      <c r="K12" s="84" t="str">
        <f aca="false">IF(H12="K1","Promosi / Pengembangan Lanjut",IF(H12="K2","Pertahankan &amp; Tingkatkan","Perlu Pembinaan Intensif"))</f>
        <v>Promosi / Pengembangan Lanjut</v>
      </c>
    </row>
    <row r="13" customFormat="false" ht="24.75" hidden="false" customHeight="true" outlineLevel="0" collapsed="false">
      <c r="B13" s="13" t="n">
        <v>8</v>
      </c>
      <c r="C13" s="14" t="str">
        <f aca="false">'TAHAP 3 – WP'!C16</f>
        <v>Hana Putri</v>
      </c>
      <c r="D13" s="25" t="n">
        <f aca="false">'TAHAP 3 – WP'!K16</f>
        <v>6.23663542448474</v>
      </c>
      <c r="E13" s="72" t="n">
        <f aca="false">'TAHAP 3 – WP'!L16</f>
        <v>6</v>
      </c>
      <c r="F13" s="25" t="n">
        <f aca="false">'TAHAP 4 – TOPSIS'!M13</f>
        <v>0.420530614921144</v>
      </c>
      <c r="G13" s="72" t="n">
        <f aca="false">'TAHAP 4 – TOPSIS'!N13</f>
        <v>6</v>
      </c>
      <c r="H13" s="26" t="str">
        <f aca="false">'TAHAP 3 – WP'!M16</f>
        <v>K2</v>
      </c>
      <c r="I13" s="82" t="n">
        <f aca="false">(D13+F13)/2</f>
        <v>3.32858301970294</v>
      </c>
      <c r="J13" s="83" t="n">
        <f aca="false">RANK(I13,I6:I15,0)</f>
        <v>6</v>
      </c>
      <c r="K13" s="85" t="str">
        <f aca="false">IF(H13="K1","Promosi / Pengembangan Lanjut",IF(H13="K2","Pertahankan &amp; Tingkatkan","Perlu Pembinaan Intensif"))</f>
        <v>Pertahankan &amp; Tingkatkan</v>
      </c>
    </row>
    <row r="14" customFormat="false" ht="24.75" hidden="false" customHeight="true" outlineLevel="0" collapsed="false">
      <c r="B14" s="9" t="n">
        <v>9</v>
      </c>
      <c r="C14" s="5" t="str">
        <f aca="false">'TAHAP 3 – WP'!C17</f>
        <v>Indra Kusuma</v>
      </c>
      <c r="D14" s="23" t="n">
        <f aca="false">'TAHAP 3 – WP'!K17</f>
        <v>8.37874731852548</v>
      </c>
      <c r="E14" s="71" t="n">
        <f aca="false">'TAHAP 3 – WP'!L17</f>
        <v>3</v>
      </c>
      <c r="F14" s="23" t="n">
        <f aca="false">'TAHAP 4 – TOPSIS'!M14</f>
        <v>0.832798439909372</v>
      </c>
      <c r="G14" s="71" t="n">
        <f aca="false">'TAHAP 4 – TOPSIS'!N14</f>
        <v>3</v>
      </c>
      <c r="H14" s="24" t="str">
        <f aca="false">'TAHAP 3 – WP'!M17</f>
        <v>K1</v>
      </c>
      <c r="I14" s="82" t="n">
        <f aca="false">(D14+F14)/2</f>
        <v>4.60577287921743</v>
      </c>
      <c r="J14" s="83" t="n">
        <f aca="false">RANK(I14,I6:I15,0)</f>
        <v>3</v>
      </c>
      <c r="K14" s="84" t="str">
        <f aca="false">IF(H14="K1","Promosi / Pengembangan Lanjut",IF(H14="K2","Pertahankan &amp; Tingkatkan","Perlu Pembinaan Intensif"))</f>
        <v>Promosi / Pengembangan Lanjut</v>
      </c>
    </row>
    <row r="15" customFormat="false" ht="24.75" hidden="false" customHeight="true" outlineLevel="0" collapsed="false">
      <c r="B15" s="13" t="n">
        <v>10</v>
      </c>
      <c r="C15" s="14" t="str">
        <f aca="false">'TAHAP 3 – WP'!C18</f>
        <v>Joko Purnomo</v>
      </c>
      <c r="D15" s="25" t="n">
        <f aca="false">'TAHAP 3 – WP'!K18</f>
        <v>4.64405649343908</v>
      </c>
      <c r="E15" s="72" t="n">
        <f aca="false">'TAHAP 3 – WP'!L18</f>
        <v>9</v>
      </c>
      <c r="F15" s="25" t="n">
        <f aca="false">'TAHAP 4 – TOPSIS'!M15</f>
        <v>0.171881901833478</v>
      </c>
      <c r="G15" s="72" t="n">
        <f aca="false">'TAHAP 4 – TOPSIS'!N15</f>
        <v>9</v>
      </c>
      <c r="H15" s="26" t="str">
        <f aca="false">'TAHAP 3 – WP'!M18</f>
        <v>K3</v>
      </c>
      <c r="I15" s="82" t="n">
        <f aca="false">(D15+F15)/2</f>
        <v>2.40796919763628</v>
      </c>
      <c r="J15" s="83" t="n">
        <f aca="false">RANK(I15,I6:I15,0)</f>
        <v>9</v>
      </c>
      <c r="K15" s="85" t="str">
        <f aca="false">IF(H15="K1","Promosi / Pengembangan Lanjut",IF(H15="K2","Pertahankan &amp; Tingkatkan","Perlu Pembinaan Intensif"))</f>
        <v>Perlu Pembinaan Intensif</v>
      </c>
    </row>
    <row r="17" customFormat="false" ht="15" hidden="false" customHeight="true" outlineLevel="0" collapsed="false">
      <c r="B17" s="7" t="s">
        <v>159</v>
      </c>
      <c r="C17" s="7"/>
      <c r="D17" s="7"/>
      <c r="E17" s="7"/>
      <c r="F17" s="7"/>
      <c r="G17" s="7"/>
      <c r="H17" s="7"/>
      <c r="I17" s="7"/>
    </row>
    <row r="18" customFormat="false" ht="34.5" hidden="false" customHeight="true" outlineLevel="0" collapsed="false">
      <c r="B18" s="8" t="s">
        <v>27</v>
      </c>
      <c r="C18" s="8" t="s">
        <v>160</v>
      </c>
      <c r="D18" s="8" t="s">
        <v>161</v>
      </c>
      <c r="E18" s="8" t="s">
        <v>162</v>
      </c>
      <c r="F18" s="8" t="s">
        <v>163</v>
      </c>
      <c r="G18" s="8"/>
      <c r="H18" s="8"/>
      <c r="I18" s="8"/>
      <c r="J18" s="8"/>
    </row>
    <row r="19" customFormat="false" ht="30" hidden="false" customHeight="true" outlineLevel="0" collapsed="false">
      <c r="B19" s="78" t="s">
        <v>164</v>
      </c>
      <c r="C19" s="86" t="n">
        <f aca="false">COUNTIF(H6:H15,"K1")</f>
        <v>4</v>
      </c>
      <c r="D19" s="63" t="n">
        <f aca="false">AVERAGEIF(H6:H15,"K1",D6:D15)</f>
        <v>8.43484250717213</v>
      </c>
      <c r="E19" s="63" t="n">
        <f aca="false">AVERAGEIF(H6:H15,"K1",F6:F15)</f>
        <v>0.862469279252399</v>
      </c>
      <c r="F19" s="87" t="s">
        <v>165</v>
      </c>
      <c r="G19" s="87"/>
      <c r="H19" s="87"/>
      <c r="I19" s="87"/>
    </row>
    <row r="20" customFormat="false" ht="30" hidden="false" customHeight="true" outlineLevel="0" collapsed="false">
      <c r="B20" s="88" t="s">
        <v>166</v>
      </c>
      <c r="C20" s="89" t="n">
        <f aca="false">COUNTIF(H6:H15,"K2")</f>
        <v>3</v>
      </c>
      <c r="D20" s="90" t="n">
        <f aca="false">AVERAGEIF(H6:H15,"K2",D6:D15)</f>
        <v>6.40052938835655</v>
      </c>
      <c r="E20" s="90" t="n">
        <f aca="false">AVERAGEIF(H6:H15,"K2",F6:F15)</f>
        <v>0.473510204973715</v>
      </c>
      <c r="F20" s="91" t="s">
        <v>167</v>
      </c>
      <c r="G20" s="91"/>
      <c r="H20" s="91"/>
      <c r="I20" s="91"/>
    </row>
    <row r="21" customFormat="false" ht="30" hidden="false" customHeight="true" outlineLevel="0" collapsed="false">
      <c r="B21" s="79" t="s">
        <v>168</v>
      </c>
      <c r="C21" s="92" t="n">
        <f aca="false">COUNTIF(H6:H15,"K3")</f>
        <v>3</v>
      </c>
      <c r="D21" s="93" t="n">
        <f aca="false">AVERAGEIF(H6:H15,"K3",D6:D15)</f>
        <v>4.75387409235735</v>
      </c>
      <c r="E21" s="93" t="n">
        <f aca="false">AVERAGEIF(H6:H15,"K3",F6:F15)</f>
        <v>0.171877774582255</v>
      </c>
      <c r="F21" s="94" t="s">
        <v>169</v>
      </c>
      <c r="G21" s="94"/>
      <c r="H21" s="94"/>
      <c r="I21" s="94"/>
    </row>
    <row r="23" customFormat="false" ht="15" hidden="false" customHeight="true" outlineLevel="0" collapsed="false">
      <c r="B23" s="7" t="s">
        <v>170</v>
      </c>
      <c r="C23" s="7"/>
      <c r="D23" s="7"/>
      <c r="E23" s="7"/>
      <c r="F23" s="7"/>
      <c r="G23" s="7"/>
      <c r="H23" s="7"/>
      <c r="I23" s="7"/>
    </row>
    <row r="24" customFormat="false" ht="27.75" hidden="false" customHeight="true" outlineLevel="0" collapsed="false">
      <c r="B24" s="60" t="s">
        <v>171</v>
      </c>
      <c r="C24" s="95" t="s">
        <v>172</v>
      </c>
      <c r="D24" s="95"/>
      <c r="E24" s="95"/>
      <c r="F24" s="95"/>
      <c r="G24" s="95"/>
      <c r="H24" s="95"/>
      <c r="I24" s="95"/>
    </row>
    <row r="25" customFormat="false" ht="27.75" hidden="false" customHeight="true" outlineLevel="0" collapsed="false">
      <c r="B25" s="96" t="s">
        <v>173</v>
      </c>
      <c r="C25" s="87" t="s">
        <v>174</v>
      </c>
      <c r="D25" s="87"/>
      <c r="E25" s="87"/>
      <c r="F25" s="87"/>
      <c r="G25" s="87"/>
      <c r="H25" s="87"/>
      <c r="I25" s="87"/>
    </row>
    <row r="26" customFormat="false" ht="27.75" hidden="false" customHeight="true" outlineLevel="0" collapsed="false">
      <c r="B26" s="96" t="s">
        <v>175</v>
      </c>
      <c r="C26" s="87" t="s">
        <v>176</v>
      </c>
      <c r="D26" s="87"/>
      <c r="E26" s="87"/>
      <c r="F26" s="87"/>
      <c r="G26" s="87"/>
      <c r="H26" s="87"/>
      <c r="I26" s="87"/>
    </row>
    <row r="27" customFormat="false" ht="27.75" hidden="false" customHeight="true" outlineLevel="0" collapsed="false">
      <c r="B27" s="96" t="s">
        <v>177</v>
      </c>
      <c r="C27" s="87" t="s">
        <v>178</v>
      </c>
      <c r="D27" s="87"/>
      <c r="E27" s="87"/>
      <c r="F27" s="87"/>
      <c r="G27" s="87"/>
      <c r="H27" s="87"/>
      <c r="I27" s="87"/>
    </row>
    <row r="28" customFormat="false" ht="27.75" hidden="false" customHeight="true" outlineLevel="0" collapsed="false">
      <c r="B28" s="96" t="s">
        <v>179</v>
      </c>
      <c r="C28" s="87" t="s">
        <v>180</v>
      </c>
      <c r="D28" s="87"/>
      <c r="E28" s="87"/>
      <c r="F28" s="87"/>
      <c r="G28" s="87"/>
      <c r="H28" s="87"/>
      <c r="I28" s="87"/>
    </row>
    <row r="29" customFormat="false" ht="27.75" hidden="false" customHeight="true" outlineLevel="0" collapsed="false">
      <c r="B29" s="97" t="s">
        <v>181</v>
      </c>
      <c r="C29" s="91" t="s">
        <v>182</v>
      </c>
      <c r="D29" s="91"/>
      <c r="E29" s="91"/>
      <c r="F29" s="91"/>
      <c r="G29" s="91"/>
      <c r="H29" s="91"/>
      <c r="I29" s="91"/>
    </row>
    <row r="30" customFormat="false" ht="27.75" hidden="false" customHeight="true" outlineLevel="0" collapsed="false">
      <c r="B30" s="98" t="s">
        <v>183</v>
      </c>
      <c r="C30" s="99" t="s">
        <v>184</v>
      </c>
      <c r="D30" s="99"/>
      <c r="E30" s="99"/>
      <c r="F30" s="99"/>
      <c r="G30" s="99"/>
      <c r="H30" s="99"/>
      <c r="I30" s="99"/>
    </row>
  </sheetData>
  <mergeCells count="16">
    <mergeCell ref="B1:I1"/>
    <mergeCell ref="B2:I2"/>
    <mergeCell ref="B4:I4"/>
    <mergeCell ref="B17:I17"/>
    <mergeCell ref="F18:J18"/>
    <mergeCell ref="F19:I19"/>
    <mergeCell ref="F20:I20"/>
    <mergeCell ref="F21:I21"/>
    <mergeCell ref="B23:I23"/>
    <mergeCell ref="C24:I24"/>
    <mergeCell ref="C25:I25"/>
    <mergeCell ref="C26:I26"/>
    <mergeCell ref="C27:I27"/>
    <mergeCell ref="C28:I28"/>
    <mergeCell ref="C29:I29"/>
    <mergeCell ref="C30:I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2026-05-09T08:30:48Z</dcterms:created>
  <dc:creator>openpyxl</dc:creator>
  <dc:description/>
  <dc:language>en-US</dc:language>
  <cp:lastModifiedBy>USER</cp:lastModifiedBy>
  <dcterms:modified xsi:type="dcterms:W3CDTF">2026-05-12T01:43:00Z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