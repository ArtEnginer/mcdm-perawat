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COVER" sheetId="1" r:id="rId1"/>
    <sheet name="TAHAP 1 – K-MEANS" sheetId="2" r:id="rId2"/>
    <sheet name="TAHAP 2 – AHP" sheetId="3" r:id="rId3"/>
    <sheet name="TAHAP 3 – WP" sheetId="4" r:id="rId4"/>
    <sheet name="TAHAP 4 – TOPSIS" sheetId="5" r:id="rId5"/>
    <sheet name="TAHAP 5 – MODEL" sheetId="6" r:id="rId6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4" l="1"/>
  <c r="I18" i="4"/>
  <c r="H18" i="4"/>
  <c r="G18" i="4"/>
  <c r="F18" i="4"/>
  <c r="E18" i="4"/>
  <c r="D18" i="4"/>
  <c r="C18" i="4"/>
  <c r="J17" i="4"/>
  <c r="I17" i="4"/>
  <c r="H17" i="4"/>
  <c r="G17" i="4"/>
  <c r="F17" i="4"/>
  <c r="E17" i="4"/>
  <c r="D17" i="4"/>
  <c r="C17" i="4"/>
  <c r="J16" i="4"/>
  <c r="I16" i="4"/>
  <c r="H16" i="4"/>
  <c r="G16" i="4"/>
  <c r="F16" i="4"/>
  <c r="E16" i="4"/>
  <c r="D16" i="4"/>
  <c r="C16" i="4"/>
  <c r="J15" i="4"/>
  <c r="I15" i="4"/>
  <c r="H15" i="4"/>
  <c r="G15" i="4"/>
  <c r="F15" i="4"/>
  <c r="E15" i="4"/>
  <c r="D15" i="4"/>
  <c r="C15" i="4"/>
  <c r="J14" i="4"/>
  <c r="I14" i="4"/>
  <c r="H14" i="4"/>
  <c r="G14" i="4"/>
  <c r="F14" i="4"/>
  <c r="E14" i="4"/>
  <c r="D14" i="4"/>
  <c r="C14" i="4"/>
  <c r="J13" i="4"/>
  <c r="I13" i="4"/>
  <c r="H13" i="4"/>
  <c r="G13" i="4"/>
  <c r="F13" i="4"/>
  <c r="E13" i="4"/>
  <c r="D13" i="4"/>
  <c r="C13" i="4"/>
  <c r="J12" i="4"/>
  <c r="I12" i="4"/>
  <c r="H12" i="4"/>
  <c r="G12" i="4"/>
  <c r="F12" i="4"/>
  <c r="E12" i="4"/>
  <c r="D12" i="4"/>
  <c r="C12" i="4"/>
  <c r="J11" i="4"/>
  <c r="I11" i="4"/>
  <c r="H11" i="4"/>
  <c r="G11" i="4"/>
  <c r="F11" i="4"/>
  <c r="E11" i="4"/>
  <c r="D11" i="4"/>
  <c r="C11" i="4"/>
  <c r="C8" i="5" s="1"/>
  <c r="C22" i="5" s="1"/>
  <c r="J10" i="4"/>
  <c r="J7" i="5" s="1"/>
  <c r="I10" i="4"/>
  <c r="H10" i="4"/>
  <c r="G10" i="4"/>
  <c r="F10" i="4"/>
  <c r="F7" i="5" s="1"/>
  <c r="E10" i="4"/>
  <c r="D10" i="4"/>
  <c r="C10" i="4"/>
  <c r="J9" i="4"/>
  <c r="I16" i="5" s="1"/>
  <c r="J8" i="5" s="1"/>
  <c r="I9" i="4"/>
  <c r="H9" i="4"/>
  <c r="G9" i="4"/>
  <c r="F9" i="4"/>
  <c r="E16" i="5" s="1"/>
  <c r="F8" i="5" s="1"/>
  <c r="E9" i="4"/>
  <c r="D9" i="4"/>
  <c r="C9" i="4"/>
  <c r="V22" i="3"/>
  <c r="I22" i="3"/>
  <c r="V18" i="3"/>
  <c r="I18" i="3"/>
  <c r="I13" i="3"/>
  <c r="V23" i="3" s="1"/>
  <c r="G13" i="3"/>
  <c r="T21" i="3" s="1"/>
  <c r="H12" i="3"/>
  <c r="G12" i="3"/>
  <c r="T23" i="3" s="1"/>
  <c r="F12" i="3"/>
  <c r="E12" i="3"/>
  <c r="D12" i="3"/>
  <c r="C12" i="3"/>
  <c r="G11" i="3"/>
  <c r="T22" i="3" s="1"/>
  <c r="F11" i="3"/>
  <c r="E11" i="3"/>
  <c r="D11" i="3"/>
  <c r="C11" i="3"/>
  <c r="F10" i="3"/>
  <c r="F13" i="3" s="1"/>
  <c r="E10" i="3"/>
  <c r="D10" i="3"/>
  <c r="C10" i="3"/>
  <c r="E9" i="3"/>
  <c r="D9" i="3"/>
  <c r="C9" i="3"/>
  <c r="D8" i="3"/>
  <c r="C8" i="3"/>
  <c r="C7" i="3"/>
  <c r="I34" i="2"/>
  <c r="F34" i="2"/>
  <c r="E34" i="2"/>
  <c r="H34" i="2" s="1"/>
  <c r="D34" i="2"/>
  <c r="G34" i="2" s="1"/>
  <c r="C34" i="2"/>
  <c r="F33" i="2"/>
  <c r="I33" i="2" s="1"/>
  <c r="E33" i="2"/>
  <c r="H33" i="2" s="1"/>
  <c r="D33" i="2"/>
  <c r="G33" i="2" s="1"/>
  <c r="C33" i="2"/>
  <c r="G32" i="2"/>
  <c r="F32" i="2"/>
  <c r="I32" i="2" s="1"/>
  <c r="E32" i="2"/>
  <c r="H32" i="2" s="1"/>
  <c r="D32" i="2"/>
  <c r="C32" i="2"/>
  <c r="H31" i="2"/>
  <c r="F31" i="2"/>
  <c r="I31" i="2" s="1"/>
  <c r="E31" i="2"/>
  <c r="D31" i="2"/>
  <c r="G31" i="2" s="1"/>
  <c r="C31" i="2"/>
  <c r="I30" i="2"/>
  <c r="F30" i="2"/>
  <c r="E30" i="2"/>
  <c r="H30" i="2" s="1"/>
  <c r="D30" i="2"/>
  <c r="G30" i="2" s="1"/>
  <c r="J30" i="2" s="1"/>
  <c r="C30" i="2"/>
  <c r="F29" i="2"/>
  <c r="I29" i="2" s="1"/>
  <c r="E29" i="2"/>
  <c r="H29" i="2" s="1"/>
  <c r="D29" i="2"/>
  <c r="G29" i="2" s="1"/>
  <c r="J29" i="2" s="1"/>
  <c r="C29" i="2"/>
  <c r="G28" i="2"/>
  <c r="F28" i="2"/>
  <c r="I28" i="2" s="1"/>
  <c r="E28" i="2"/>
  <c r="H28" i="2" s="1"/>
  <c r="D28" i="2"/>
  <c r="C28" i="2"/>
  <c r="I27" i="2"/>
  <c r="H27" i="2"/>
  <c r="F27" i="2"/>
  <c r="E27" i="2"/>
  <c r="D27" i="2"/>
  <c r="G27" i="2" s="1"/>
  <c r="J27" i="2" s="1"/>
  <c r="C27" i="2"/>
  <c r="I26" i="2"/>
  <c r="F26" i="2"/>
  <c r="E26" i="2"/>
  <c r="H26" i="2" s="1"/>
  <c r="D26" i="2"/>
  <c r="G26" i="2" s="1"/>
  <c r="J26" i="2" s="1"/>
  <c r="C26" i="2"/>
  <c r="G25" i="2"/>
  <c r="F25" i="2"/>
  <c r="I25" i="2" s="1"/>
  <c r="E25" i="2"/>
  <c r="H25" i="2" s="1"/>
  <c r="J25" i="2" s="1"/>
  <c r="D25" i="2"/>
  <c r="C25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K29" i="2" l="1"/>
  <c r="M10" i="2"/>
  <c r="M13" i="4" s="1"/>
  <c r="J28" i="2"/>
  <c r="G8" i="5"/>
  <c r="J33" i="2"/>
  <c r="J34" i="2"/>
  <c r="P18" i="3"/>
  <c r="U23" i="3"/>
  <c r="K25" i="2"/>
  <c r="M6" i="2"/>
  <c r="M9" i="4" s="1"/>
  <c r="K30" i="2"/>
  <c r="M11" i="2"/>
  <c r="M14" i="4" s="1"/>
  <c r="S20" i="3"/>
  <c r="F20" i="3"/>
  <c r="F23" i="3"/>
  <c r="S17" i="3"/>
  <c r="F17" i="3"/>
  <c r="S18" i="3"/>
  <c r="F18" i="3"/>
  <c r="S23" i="3"/>
  <c r="S19" i="3"/>
  <c r="F19" i="3"/>
  <c r="S22" i="3"/>
  <c r="I6" i="5"/>
  <c r="I8" i="5"/>
  <c r="K26" i="2"/>
  <c r="M7" i="2"/>
  <c r="M10" i="4" s="1"/>
  <c r="K27" i="2"/>
  <c r="M8" i="2"/>
  <c r="M11" i="4" s="1"/>
  <c r="J31" i="2"/>
  <c r="J32" i="2"/>
  <c r="G20" i="3"/>
  <c r="T20" i="3"/>
  <c r="C36" i="5"/>
  <c r="C7" i="6"/>
  <c r="C40" i="5"/>
  <c r="C11" i="6"/>
  <c r="G15" i="5"/>
  <c r="D13" i="3"/>
  <c r="Q23" i="3" s="1"/>
  <c r="H13" i="3"/>
  <c r="I17" i="3"/>
  <c r="V17" i="3"/>
  <c r="G19" i="3"/>
  <c r="T19" i="3"/>
  <c r="D20" i="3"/>
  <c r="E21" i="3"/>
  <c r="I21" i="3"/>
  <c r="V21" i="3"/>
  <c r="F22" i="3"/>
  <c r="C23" i="3"/>
  <c r="G23" i="3"/>
  <c r="P23" i="3"/>
  <c r="C35" i="5"/>
  <c r="C6" i="6"/>
  <c r="F16" i="5"/>
  <c r="G11" i="5" s="1"/>
  <c r="F9" i="5"/>
  <c r="J9" i="5"/>
  <c r="C10" i="5"/>
  <c r="C24" i="5" s="1"/>
  <c r="C39" i="5"/>
  <c r="C10" i="6"/>
  <c r="I12" i="5"/>
  <c r="F13" i="5"/>
  <c r="J13" i="5"/>
  <c r="C14" i="5"/>
  <c r="C28" i="5" s="1"/>
  <c r="C43" i="5"/>
  <c r="C14" i="6"/>
  <c r="G14" i="5"/>
  <c r="C13" i="3"/>
  <c r="P21" i="3" s="1"/>
  <c r="F10" i="5"/>
  <c r="J14" i="5"/>
  <c r="E13" i="3"/>
  <c r="R21" i="3" s="1"/>
  <c r="C18" i="3"/>
  <c r="G18" i="3"/>
  <c r="T18" i="3"/>
  <c r="D19" i="3"/>
  <c r="E20" i="3"/>
  <c r="I20" i="3"/>
  <c r="V20" i="3"/>
  <c r="F21" i="3"/>
  <c r="S21" i="3"/>
  <c r="G22" i="3"/>
  <c r="D23" i="3"/>
  <c r="H23" i="3"/>
  <c r="C16" i="5"/>
  <c r="D6" i="5" s="1"/>
  <c r="G16" i="5"/>
  <c r="H12" i="5" s="1"/>
  <c r="C38" i="5"/>
  <c r="C9" i="6"/>
  <c r="G9" i="5"/>
  <c r="E11" i="5"/>
  <c r="F12" i="5"/>
  <c r="J12" i="5"/>
  <c r="C13" i="5"/>
  <c r="C27" i="5" s="1"/>
  <c r="C42" i="5"/>
  <c r="C13" i="6"/>
  <c r="G13" i="5"/>
  <c r="D14" i="5"/>
  <c r="E15" i="5"/>
  <c r="F6" i="5"/>
  <c r="J6" i="5"/>
  <c r="D8" i="5"/>
  <c r="C9" i="5"/>
  <c r="C23" i="5" s="1"/>
  <c r="C11" i="5"/>
  <c r="C25" i="5" s="1"/>
  <c r="J10" i="5"/>
  <c r="D12" i="5"/>
  <c r="F14" i="5"/>
  <c r="C44" i="5"/>
  <c r="C15" i="6"/>
  <c r="C15" i="5"/>
  <c r="C29" i="5" s="1"/>
  <c r="C7" i="5"/>
  <c r="C21" i="5" s="1"/>
  <c r="G17" i="3"/>
  <c r="T17" i="3"/>
  <c r="I19" i="3"/>
  <c r="V19" i="3"/>
  <c r="C21" i="3"/>
  <c r="G21" i="3"/>
  <c r="D22" i="3"/>
  <c r="E23" i="3"/>
  <c r="I23" i="3"/>
  <c r="D16" i="5"/>
  <c r="E7" i="5" s="1"/>
  <c r="H16" i="5"/>
  <c r="I11" i="5" s="1"/>
  <c r="C8" i="6"/>
  <c r="C37" i="5"/>
  <c r="E10" i="5"/>
  <c r="F11" i="5"/>
  <c r="J11" i="5"/>
  <c r="C12" i="6"/>
  <c r="C12" i="5"/>
  <c r="C26" i="5" s="1"/>
  <c r="C41" i="5"/>
  <c r="G12" i="5"/>
  <c r="D13" i="5"/>
  <c r="H13" i="5"/>
  <c r="E14" i="5"/>
  <c r="I14" i="5"/>
  <c r="F15" i="5"/>
  <c r="J15" i="5"/>
  <c r="C6" i="5"/>
  <c r="C20" i="5" s="1"/>
  <c r="G6" i="5"/>
  <c r="H15" i="5" l="1"/>
  <c r="H7" i="6"/>
  <c r="K7" i="6" s="1"/>
  <c r="O7" i="5"/>
  <c r="H11" i="6"/>
  <c r="K11" i="6" s="1"/>
  <c r="O11" i="5"/>
  <c r="I10" i="5"/>
  <c r="I15" i="5"/>
  <c r="C22" i="3"/>
  <c r="E13" i="5"/>
  <c r="D15" i="5"/>
  <c r="E12" i="5"/>
  <c r="G10" i="5"/>
  <c r="P19" i="3"/>
  <c r="I13" i="5"/>
  <c r="P22" i="3"/>
  <c r="K31" i="2"/>
  <c r="M12" i="2"/>
  <c r="M15" i="4" s="1"/>
  <c r="E8" i="5"/>
  <c r="E6" i="5"/>
  <c r="D10" i="5"/>
  <c r="H7" i="5"/>
  <c r="K34" i="2"/>
  <c r="M15" i="2"/>
  <c r="M18" i="4" s="1"/>
  <c r="G7" i="5"/>
  <c r="K28" i="2"/>
  <c r="M9" i="2"/>
  <c r="M12" i="4" s="1"/>
  <c r="H11" i="5"/>
  <c r="J23" i="3"/>
  <c r="I6" i="4" s="1"/>
  <c r="U22" i="3"/>
  <c r="H22" i="3"/>
  <c r="U18" i="3"/>
  <c r="H18" i="3"/>
  <c r="H17" i="3"/>
  <c r="U19" i="3"/>
  <c r="H19" i="3"/>
  <c r="U20" i="3"/>
  <c r="H20" i="3"/>
  <c r="U21" i="3"/>
  <c r="H21" i="3"/>
  <c r="U17" i="3"/>
  <c r="H8" i="6"/>
  <c r="K8" i="6" s="1"/>
  <c r="O8" i="5"/>
  <c r="I9" i="5"/>
  <c r="I7" i="5"/>
  <c r="R23" i="3"/>
  <c r="R20" i="3"/>
  <c r="H6" i="6"/>
  <c r="O6" i="5"/>
  <c r="D9" i="5"/>
  <c r="D7" i="5"/>
  <c r="K33" i="2"/>
  <c r="M14" i="2"/>
  <c r="M17" i="4" s="1"/>
  <c r="O10" i="5"/>
  <c r="H10" i="6"/>
  <c r="K10" i="6" s="1"/>
  <c r="H10" i="5"/>
  <c r="H6" i="5"/>
  <c r="J28" i="5"/>
  <c r="K32" i="2"/>
  <c r="M13" i="2"/>
  <c r="M16" i="4" s="1"/>
  <c r="J25" i="5"/>
  <c r="H9" i="5"/>
  <c r="J24" i="5"/>
  <c r="J20" i="5"/>
  <c r="H14" i="5"/>
  <c r="R19" i="3"/>
  <c r="E19" i="3"/>
  <c r="E22" i="3"/>
  <c r="R17" i="3"/>
  <c r="E17" i="3"/>
  <c r="R22" i="3"/>
  <c r="R18" i="3"/>
  <c r="E18" i="3"/>
  <c r="P17" i="3"/>
  <c r="C17" i="3"/>
  <c r="J17" i="3" s="1"/>
  <c r="P20" i="3"/>
  <c r="C20" i="3"/>
  <c r="J20" i="3" s="1"/>
  <c r="F6" i="4" s="1"/>
  <c r="G20" i="5" s="1"/>
  <c r="D11" i="5"/>
  <c r="C19" i="3"/>
  <c r="J19" i="3" s="1"/>
  <c r="E6" i="4" s="1"/>
  <c r="F20" i="5" s="1"/>
  <c r="Q18" i="3"/>
  <c r="D18" i="3"/>
  <c r="J18" i="3" s="1"/>
  <c r="D6" i="4" s="1"/>
  <c r="Q21" i="3"/>
  <c r="D21" i="3"/>
  <c r="J21" i="3" s="1"/>
  <c r="G6" i="4" s="1"/>
  <c r="Q17" i="3"/>
  <c r="D17" i="3"/>
  <c r="Q19" i="3"/>
  <c r="E9" i="5"/>
  <c r="H8" i="5"/>
  <c r="Q20" i="3"/>
  <c r="Q22" i="3"/>
  <c r="E21" i="5" l="1"/>
  <c r="E24" i="5"/>
  <c r="E28" i="5"/>
  <c r="E25" i="5"/>
  <c r="E29" i="5"/>
  <c r="H27" i="5"/>
  <c r="H26" i="5"/>
  <c r="C6" i="4"/>
  <c r="O14" i="5"/>
  <c r="H14" i="6"/>
  <c r="K14" i="6" s="1"/>
  <c r="J22" i="5"/>
  <c r="J21" i="5"/>
  <c r="G28" i="5"/>
  <c r="F25" i="5"/>
  <c r="H15" i="6"/>
  <c r="K15" i="6" s="1"/>
  <c r="O15" i="5"/>
  <c r="E20" i="5"/>
  <c r="G24" i="5"/>
  <c r="J22" i="3"/>
  <c r="H6" i="4" s="1"/>
  <c r="G27" i="5"/>
  <c r="D25" i="5"/>
  <c r="F27" i="5"/>
  <c r="H23" i="5"/>
  <c r="K6" i="6"/>
  <c r="I23" i="5"/>
  <c r="F23" i="5"/>
  <c r="F24" i="5"/>
  <c r="O9" i="5"/>
  <c r="H9" i="6"/>
  <c r="K9" i="6" s="1"/>
  <c r="E22" i="5"/>
  <c r="I27" i="5"/>
  <c r="E26" i="5"/>
  <c r="I29" i="5"/>
  <c r="F29" i="5"/>
  <c r="G29" i="5"/>
  <c r="G25" i="5"/>
  <c r="E23" i="5"/>
  <c r="H22" i="5"/>
  <c r="H28" i="5"/>
  <c r="H20" i="5"/>
  <c r="D21" i="5"/>
  <c r="H25" i="5"/>
  <c r="H21" i="5"/>
  <c r="O12" i="5"/>
  <c r="H12" i="6"/>
  <c r="K12" i="6" s="1"/>
  <c r="D29" i="5"/>
  <c r="G23" i="5"/>
  <c r="F28" i="5"/>
  <c r="G22" i="5"/>
  <c r="F21" i="5"/>
  <c r="F31" i="5" s="1"/>
  <c r="F22" i="5"/>
  <c r="G26" i="5"/>
  <c r="O13" i="5"/>
  <c r="H13" i="6"/>
  <c r="K13" i="6" s="1"/>
  <c r="H24" i="5"/>
  <c r="D23" i="5"/>
  <c r="J27" i="5"/>
  <c r="F26" i="5"/>
  <c r="G21" i="5"/>
  <c r="G30" i="5" s="1"/>
  <c r="D24" i="5"/>
  <c r="J23" i="5"/>
  <c r="E27" i="5"/>
  <c r="J26" i="5"/>
  <c r="J30" i="5" s="1"/>
  <c r="I24" i="5"/>
  <c r="H29" i="5"/>
  <c r="J29" i="5"/>
  <c r="C20" i="6" l="1"/>
  <c r="D26" i="3"/>
  <c r="D27" i="3" s="1"/>
  <c r="K16" i="4"/>
  <c r="K12" i="4"/>
  <c r="K18" i="4"/>
  <c r="K14" i="4"/>
  <c r="K10" i="4"/>
  <c r="K9" i="4"/>
  <c r="K15" i="4"/>
  <c r="K13" i="4"/>
  <c r="K11" i="4"/>
  <c r="K17" i="4"/>
  <c r="D28" i="5"/>
  <c r="D20" i="5"/>
  <c r="D26" i="5"/>
  <c r="D22" i="5"/>
  <c r="D27" i="5"/>
  <c r="F30" i="5"/>
  <c r="I25" i="5"/>
  <c r="I26" i="5"/>
  <c r="I22" i="5"/>
  <c r="I28" i="5"/>
  <c r="I20" i="5"/>
  <c r="F26" i="3"/>
  <c r="F27" i="3" s="1"/>
  <c r="E26" i="3"/>
  <c r="E27" i="3" s="1"/>
  <c r="G31" i="5"/>
  <c r="J31" i="5"/>
  <c r="C19" i="6"/>
  <c r="I21" i="5"/>
  <c r="H26" i="3"/>
  <c r="H27" i="3" s="1"/>
  <c r="C26" i="3"/>
  <c r="C27" i="3" s="1"/>
  <c r="H31" i="5"/>
  <c r="H30" i="5"/>
  <c r="C21" i="6"/>
  <c r="E30" i="5"/>
  <c r="E31" i="5"/>
  <c r="I26" i="3"/>
  <c r="I27" i="3" s="1"/>
  <c r="G26" i="3"/>
  <c r="G27" i="3" s="1"/>
  <c r="C29" i="3" l="1"/>
  <c r="C30" i="3" s="1"/>
  <c r="C32" i="3" s="1"/>
  <c r="C33" i="3" s="1"/>
  <c r="D8" i="6"/>
  <c r="L11" i="4"/>
  <c r="D7" i="6"/>
  <c r="L10" i="4"/>
  <c r="D13" i="6"/>
  <c r="L16" i="4"/>
  <c r="D31" i="5"/>
  <c r="D30" i="5"/>
  <c r="K12" i="5" s="1"/>
  <c r="L6" i="5"/>
  <c r="D10" i="6"/>
  <c r="L13" i="4"/>
  <c r="D11" i="6"/>
  <c r="L14" i="4"/>
  <c r="I30" i="5"/>
  <c r="I31" i="5"/>
  <c r="L13" i="5" s="1"/>
  <c r="M13" i="5" s="1"/>
  <c r="K13" i="5"/>
  <c r="L14" i="5"/>
  <c r="D12" i="6"/>
  <c r="L15" i="4"/>
  <c r="D15" i="6"/>
  <c r="L18" i="4"/>
  <c r="K8" i="5"/>
  <c r="D14" i="6"/>
  <c r="L17" i="4"/>
  <c r="D6" i="6"/>
  <c r="L9" i="4"/>
  <c r="D9" i="6"/>
  <c r="L12" i="4"/>
  <c r="F13" i="6" l="1"/>
  <c r="E6" i="6"/>
  <c r="D35" i="5"/>
  <c r="E12" i="6"/>
  <c r="D41" i="5"/>
  <c r="E8" i="6"/>
  <c r="D37" i="5"/>
  <c r="D19" i="6"/>
  <c r="L8" i="5"/>
  <c r="M8" i="5" s="1"/>
  <c r="K6" i="5"/>
  <c r="M6" i="5" s="1"/>
  <c r="I13" i="6"/>
  <c r="E7" i="6"/>
  <c r="D36" i="5"/>
  <c r="E9" i="6"/>
  <c r="D38" i="5"/>
  <c r="E14" i="6"/>
  <c r="D43" i="5"/>
  <c r="E15" i="6"/>
  <c r="D44" i="5"/>
  <c r="E10" i="6"/>
  <c r="D39" i="5"/>
  <c r="K15" i="5"/>
  <c r="K11" i="5"/>
  <c r="K9" i="5"/>
  <c r="K7" i="5"/>
  <c r="K10" i="5"/>
  <c r="D20" i="6"/>
  <c r="K14" i="5"/>
  <c r="M14" i="5" s="1"/>
  <c r="L10" i="5"/>
  <c r="M10" i="5" s="1"/>
  <c r="L9" i="5"/>
  <c r="L11" i="5"/>
  <c r="M11" i="5" s="1"/>
  <c r="L15" i="5"/>
  <c r="M15" i="5" s="1"/>
  <c r="L7" i="5"/>
  <c r="M7" i="5" s="1"/>
  <c r="D21" i="6"/>
  <c r="L12" i="5"/>
  <c r="M12" i="5" s="1"/>
  <c r="E11" i="6"/>
  <c r="D40" i="5"/>
  <c r="E13" i="6"/>
  <c r="D42" i="5"/>
  <c r="F14" i="6" l="1"/>
  <c r="I14" i="6" s="1"/>
  <c r="F6" i="6"/>
  <c r="F12" i="6"/>
  <c r="I12" i="6" s="1"/>
  <c r="F7" i="6"/>
  <c r="F10" i="6"/>
  <c r="I10" i="6" s="1"/>
  <c r="F8" i="6"/>
  <c r="I8" i="6" s="1"/>
  <c r="F11" i="6"/>
  <c r="I11" i="6" s="1"/>
  <c r="F15" i="6"/>
  <c r="I15" i="6" s="1"/>
  <c r="M9" i="5"/>
  <c r="F9" i="6" l="1"/>
  <c r="N9" i="5"/>
  <c r="N11" i="5"/>
  <c r="E21" i="6"/>
  <c r="I7" i="6"/>
  <c r="N6" i="5"/>
  <c r="N12" i="5"/>
  <c r="E19" i="6"/>
  <c r="I6" i="6"/>
  <c r="N10" i="5"/>
  <c r="N15" i="5"/>
  <c r="N8" i="5"/>
  <c r="N7" i="5"/>
  <c r="N13" i="5"/>
  <c r="N14" i="5"/>
  <c r="E42" i="5" l="1"/>
  <c r="F42" i="5" s="1"/>
  <c r="G42" i="5" s="1"/>
  <c r="G13" i="6"/>
  <c r="G15" i="6"/>
  <c r="E44" i="5"/>
  <c r="F44" i="5" s="1"/>
  <c r="G44" i="5" s="1"/>
  <c r="G6" i="6"/>
  <c r="E35" i="5"/>
  <c r="F35" i="5" s="1"/>
  <c r="G35" i="5" s="1"/>
  <c r="G11" i="6"/>
  <c r="E40" i="5"/>
  <c r="F40" i="5" s="1"/>
  <c r="G40" i="5" s="1"/>
  <c r="E38" i="5"/>
  <c r="F38" i="5" s="1"/>
  <c r="G38" i="5" s="1"/>
  <c r="G9" i="6"/>
  <c r="E20" i="6"/>
  <c r="I9" i="6"/>
  <c r="J12" i="6" s="1"/>
  <c r="G7" i="6"/>
  <c r="E36" i="5"/>
  <c r="F36" i="5" s="1"/>
  <c r="G36" i="5" s="1"/>
  <c r="G8" i="6"/>
  <c r="E37" i="5"/>
  <c r="F37" i="5" s="1"/>
  <c r="G37" i="5" s="1"/>
  <c r="G12" i="6"/>
  <c r="E41" i="5"/>
  <c r="F41" i="5" s="1"/>
  <c r="G41" i="5" s="1"/>
  <c r="G14" i="6"/>
  <c r="E43" i="5"/>
  <c r="F43" i="5" s="1"/>
  <c r="G43" i="5" s="1"/>
  <c r="J11" i="6"/>
  <c r="G10" i="6"/>
  <c r="E39" i="5"/>
  <c r="F39" i="5" s="1"/>
  <c r="G39" i="5" s="1"/>
  <c r="J8" i="6"/>
  <c r="J15" i="6"/>
  <c r="J10" i="6" l="1"/>
  <c r="J9" i="6"/>
  <c r="J14" i="6"/>
  <c r="J13" i="6"/>
  <c r="J6" i="6"/>
  <c r="H47" i="5"/>
  <c r="J7" i="6"/>
</calcChain>
</file>

<file path=xl/sharedStrings.xml><?xml version="1.0" encoding="utf-8"?>
<sst xmlns="http://schemas.openxmlformats.org/spreadsheetml/2006/main" count="219" uniqueCount="161">
  <si>
    <t>MODEL KONSEPTUAL EVALUASI KINERJA PERAWAT
Berbasis Klasterisasi &amp; Hybrid MCDM (AHP–WP–TOPSIS)</t>
  </si>
  <si>
    <t>Fatkhurrochman, S.Kom, M.Kom | 2026</t>
  </si>
  <si>
    <t>NAVIGASI SHEET</t>
  </si>
  <si>
    <t xml:space="preserve">  ▶  TAHAP 1 – K-MEANS</t>
  </si>
  <si>
    <t>Klasterisasi pola kinerja perawat (K-Means, k=3)</t>
  </si>
  <si>
    <t xml:space="preserve">  ▶  TAHAP 2 – AHP</t>
  </si>
  <si>
    <t>Pembobotan kriteria AHP + uji Consistency Ratio</t>
  </si>
  <si>
    <t xml:space="preserve">  ▶  TAHAP 3 – WP</t>
  </si>
  <si>
    <t>Agregasi nilai kinerja Weighted Product</t>
  </si>
  <si>
    <t xml:space="preserve">  ▶  TAHAP 4 – TOPSIS</t>
  </si>
  <si>
    <t>Validasi pemeringkatan TOPSIS</t>
  </si>
  <si>
    <t xml:space="preserve">  ▶  TAHAP 5 – MODEL</t>
  </si>
  <si>
    <t>Rekapitulasi final &amp; Model Konseptual</t>
  </si>
  <si>
    <t>TAHAP 1: KLASTERISASI POLA KINERJA PERAWAT (K-MEANS CLUSTERING)</t>
  </si>
  <si>
    <t>Algoritma K-Means | 7 Kriteria | k = 3 Klaster | Silhouette Score ≥ 0.5</t>
  </si>
  <si>
    <t>A. DATA KINERJA PERAWAT (Skala 1–10) — Input Hardcode pada C1–C7</t>
  </si>
  <si>
    <t>No</t>
  </si>
  <si>
    <t>Nama Perawat</t>
  </si>
  <si>
    <t>C1
Komp. Klinis</t>
  </si>
  <si>
    <t>C2
Profesionalisme</t>
  </si>
  <si>
    <t>C3
Kolaborasi Tim</t>
  </si>
  <si>
    <t>C4
Orientasi Hasil</t>
  </si>
  <si>
    <t>C5
Keselamatan</t>
  </si>
  <si>
    <t>C6
Mgmt Waktu</t>
  </si>
  <si>
    <t>C7
Komunikasi</t>
  </si>
  <si>
    <t>Total Skor</t>
  </si>
  <si>
    <t>Rata-rata</t>
  </si>
  <si>
    <t>Klaster</t>
  </si>
  <si>
    <t>Andi Setiawan</t>
  </si>
  <si>
    <t>Budi Santoso</t>
  </si>
  <si>
    <t>Citra Dewi</t>
  </si>
  <si>
    <t>Dian Pratiwi</t>
  </si>
  <si>
    <t>Eko Wahyudi</t>
  </si>
  <si>
    <t>Fitri Handayani</t>
  </si>
  <si>
    <t>Galih Nugroho</t>
  </si>
  <si>
    <t>Hana Putri</t>
  </si>
  <si>
    <t>Indra Kusuma</t>
  </si>
  <si>
    <t>Joko Purnomo</t>
  </si>
  <si>
    <t>B. CENTROID K-MEANS (Hasil Iterasi Final) — Input Pakar/Algoritma</t>
  </si>
  <si>
    <t>C1</t>
  </si>
  <si>
    <t>C2</t>
  </si>
  <si>
    <t>C3</t>
  </si>
  <si>
    <t>C4</t>
  </si>
  <si>
    <t>C5</t>
  </si>
  <si>
    <t>C6</t>
  </si>
  <si>
    <t>C7</t>
  </si>
  <si>
    <t>Label</t>
  </si>
  <si>
    <t>K1 (Tinggi)</t>
  </si>
  <si>
    <t>Kinerja TINGGI</t>
  </si>
  <si>
    <t>K2 (Sedang)</t>
  </si>
  <si>
    <t>Kinerja SEDANG</t>
  </si>
  <si>
    <t>K3 (Rendah)</t>
  </si>
  <si>
    <t>Kinerja RENDAH</t>
  </si>
  <si>
    <t>C. JARAK EUCLIDEAN KE CENTROID (Formula Excel) &amp; PENUGASAN KLASTER</t>
  </si>
  <si>
    <t>Perawat</t>
  </si>
  <si>
    <t>d² → K1</t>
  </si>
  <si>
    <t>d² → K2</t>
  </si>
  <si>
    <t>d² → K3</t>
  </si>
  <si>
    <t>D→K1</t>
  </si>
  <si>
    <t>D→K2</t>
  </si>
  <si>
    <t>D→K3</t>
  </si>
  <si>
    <t>Klaster
Terdekat</t>
  </si>
  <si>
    <t>Label Klaster</t>
  </si>
  <si>
    <t>✔  Silhouette Score (Input Algoritma) = 0.68  →  Klasterisasi VALID (≥ 0.5)</t>
  </si>
  <si>
    <t>TAHAP 2: PEMBOBOTAN KRITERIA – ANALYTICAL HIERARCHY PROCESS (AHP)</t>
  </si>
  <si>
    <t>Pairwise Matrix = Input Pakar | Normalisasi &amp; CR = Formula Excel</t>
  </si>
  <si>
    <t>A. MATRIKS PERBANDINGAN BERPASANGAN — Input Pakar (Skala 1–9 Saaty)</t>
  </si>
  <si>
    <t>Kriteria / Kriteria</t>
  </si>
  <si>
    <t>C1: Komp. Klinis</t>
  </si>
  <si>
    <t>C2: Profesionalisme</t>
  </si>
  <si>
    <t>C3: Kolaborasi Tim</t>
  </si>
  <si>
    <t>C4: Orientasi Hasil</t>
  </si>
  <si>
    <t>C5: Keselamatan</t>
  </si>
  <si>
    <t>C6: Mgmt Waktu</t>
  </si>
  <si>
    <t>C7: Komunikasi</t>
  </si>
  <si>
    <t>JUMLAH KOLOM</t>
  </si>
  <si>
    <t>B. MATRIKS NORMALISASI (rij = xij / jumlah kolom-j) &amp; BOBOT PRIORITAS</t>
  </si>
  <si>
    <t>Kriteria</t>
  </si>
  <si>
    <t>Bobot (W)</t>
  </si>
  <si>
    <t>C. UJI KONSISTENSI (Consistency Ratio — CR &lt; 0.1)</t>
  </si>
  <si>
    <t>Weighted Sum Vector (WSV)</t>
  </si>
  <si>
    <t>Lambda Vector (λi = WSV / Wi)</t>
  </si>
  <si>
    <t>n (Jumlah Kriteria)</t>
  </si>
  <si>
    <t>7</t>
  </si>
  <si>
    <t>λmax = AVERAGE(λi)</t>
  </si>
  <si>
    <t>CI = (λmax − n) / (n−1)</t>
  </si>
  <si>
    <t>RI (n=7, tabel Saaty)</t>
  </si>
  <si>
    <t>CR = CI / RI</t>
  </si>
  <si>
    <t>Status Konsistensi</t>
  </si>
  <si>
    <t>TAHAP 3: AGREGASI NILAI KINERJA — WEIGHTED PRODUCT (WP)</t>
  </si>
  <si>
    <t>Formula: Si = ∏(Xij ^ Wj) | Bobot diambil dari Sheet AHP (formula referencing)</t>
  </si>
  <si>
    <t>A. BOBOT KRITERIA (Referensi dari Sheet TAHAP 2 – AHP)</t>
  </si>
  <si>
    <t>Kriteria/Perawat</t>
  </si>
  <si>
    <t>WP Score (Si)</t>
  </si>
  <si>
    <t>Rank WP</t>
  </si>
  <si>
    <t>B. DATA KINERJA &amp; PERHITUNGAN WP SCORE</t>
  </si>
  <si>
    <t>Catatan: Si dihitung via formula POWER non-linear. Rank via fungsi RANK(). Bobot = referensi AHP.</t>
  </si>
  <si>
    <t>TAHAP 4: VALIDASI PEMERINGKATAN — TOPSIS</t>
  </si>
  <si>
    <t>Semua langkah (normalisasi, pembobotan, D+, D−, Ci, Rank) = Formula Excel</t>
  </si>
  <si>
    <t>LANGKAH 1: NORMALISASI MATRIKS KEPUTUSAN  rij = xij / √(Σ xij²)</t>
  </si>
  <si>
    <t>r_C1</t>
  </si>
  <si>
    <t>r_C2</t>
  </si>
  <si>
    <t>r_C3</t>
  </si>
  <si>
    <t>r_C4</t>
  </si>
  <si>
    <t>r_C5</t>
  </si>
  <si>
    <t>r_C6</t>
  </si>
  <si>
    <t>r_C7</t>
  </si>
  <si>
    <t>D+ (Pos)</t>
  </si>
  <si>
    <t>D- (Neg)</t>
  </si>
  <si>
    <t>Ci (Kedekatan)</t>
  </si>
  <si>
    <t>Rank</t>
  </si>
  <si>
    <t>√(Σxij²) Pembagi</t>
  </si>
  <si>
    <t>LANGKAH 2: MATRIKS NORMALISASI TERBOBOT  vij = rij × Wj</t>
  </si>
  <si>
    <t>v_C1</t>
  </si>
  <si>
    <t>v_C2</t>
  </si>
  <si>
    <t>v_C3</t>
  </si>
  <si>
    <t>v_C4</t>
  </si>
  <si>
    <t>v_C5</t>
  </si>
  <si>
    <t>v_C6</t>
  </si>
  <si>
    <t>v_C7</t>
  </si>
  <si>
    <t>A+ (Ideal Positif)</t>
  </si>
  <si>
    <t>A− (Ideal Negatif)</t>
  </si>
  <si>
    <t>VALIDASI KESESUAIAN PERINGKAT WP vs TOPSIS</t>
  </si>
  <si>
    <t>Rank TOPSIS</t>
  </si>
  <si>
    <t>|ΔRank|</t>
  </si>
  <si>
    <t>Konsisten?</t>
  </si>
  <si>
    <t>Tingkat Kesesuaian WP–TOPSIS → (Formula) = COUNTIF(✔ YA)/10 × 100%</t>
  </si>
  <si>
    <t>TAHAP 5: MODEL KONSEPTUAL – REKAPITULASI EVALUASI KINERJA PERAWAT</t>
  </si>
  <si>
    <t>Seluruh data = referensi formula dari sheet sebelumnya | Integrasi K-Means+AHP+WP+TOPSIS</t>
  </si>
  <si>
    <t>REKAPITULASI FINAL: PEMERINGKATAN KINERJA PERAWAT</t>
  </si>
  <si>
    <t>WP Score</t>
  </si>
  <si>
    <t>TOPSIS Ci</t>
  </si>
  <si>
    <t>Rank Final (Avg)</t>
  </si>
  <si>
    <t>Rank Final</t>
  </si>
  <si>
    <t>Rekomendasi</t>
  </si>
  <si>
    <t>RINGKASAN PER KLASTER (Formula COUNTIF &amp; AVERAGEIF)</t>
  </si>
  <si>
    <t>Jumlah Perawat</t>
  </si>
  <si>
    <t>Rata-rata WP Score</t>
  </si>
  <si>
    <t>Rata-rata TOPSIS Ci</t>
  </si>
  <si>
    <t>Rekomendasi Manajerial</t>
  </si>
  <si>
    <t>"K1" – Kinerja TINGGI</t>
  </si>
  <si>
    <t>Prioritas promosi, berikan peran mentor dan pengembangan karir</t>
  </si>
  <si>
    <t>"K2" – Kinerja SEDANG</t>
  </si>
  <si>
    <t>Pelatihan targeted, monitoring berkala, reward berbasis capaian</t>
  </si>
  <si>
    <t>"K3" – Kinerja RENDAH</t>
  </si>
  <si>
    <t>Program pembinaan intensif, mentoring, review ulang beban kerja</t>
  </si>
  <si>
    <t>KERANGKA MODEL KONSEPTUAL EVALUASI KINERJA PERAWAT</t>
  </si>
  <si>
    <t>INPUT</t>
  </si>
  <si>
    <t>Data kinerja perawat multidimensi (7 kriteria, 10 perawat)</t>
  </si>
  <si>
    <t>PROSES 1</t>
  </si>
  <si>
    <t>K-Means Clustering → Segmentasi klaster kinerja (K1/K2/K3)</t>
  </si>
  <si>
    <t>PROSES 2</t>
  </si>
  <si>
    <t>AHP → Bobot prioritas kriteria, CR &lt; 0.1 (konsisten)</t>
  </si>
  <si>
    <t>PROSES 3</t>
  </si>
  <si>
    <t>Weighted Product (WP) → Skor preferensi Si = ∏(Xij^Wj)</t>
  </si>
  <si>
    <t>PROSES 4</t>
  </si>
  <si>
    <t>TOPSIS → Ci = D− / (D+ + D−), validasi silang ≥ 75%</t>
  </si>
  <si>
    <t>OUTPUT</t>
  </si>
  <si>
    <t>Pemeringkatan final + Label klaster kinerja</t>
  </si>
  <si>
    <t>KEPUTUSAN</t>
  </si>
  <si>
    <t>Rekomendasi manajerial: Promosi / Pertahankan / Pembinaan Intensif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</si>
</sst>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%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b/>
      <sz val="10"/>
      <color rgb="FF2E75B6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11"/>
      <color rgb="FF375623"/>
      <name val="Arial"/>
      <charset val="1"/>
    </font>
    <font>
      <b/>
      <sz val="9"/>
      <color rgb="FFFFFFFF"/>
      <name val="Arial"/>
      <charset val="1"/>
    </font>
    <font>
      <b/>
      <sz val="10"/>
      <color rgb="FFC00000"/>
      <name val="Arial"/>
      <charset val="1"/>
    </font>
    <font>
      <b/>
      <sz val="9"/>
      <color rgb="FF375623"/>
      <name val="Arial"/>
      <charset val="1"/>
    </font>
    <font>
      <sz val="10"/>
      <name val="Arial"/>
      <charset val="1"/>
    </font>
    <font>
      <sz val="9"/>
      <color rgb="FF000000"/>
      <name val="Arial"/>
      <charset val="1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EAD1DC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/>
    <xf numFmtId="0" fontId="3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" fontId="7" fillId="5" borderId="2" xfId="0" applyNumberFormat="1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" fontId="7" fillId="6" borderId="2" xfId="0" applyNumberFormat="1" applyFont="1" applyFill="1" applyBorder="1" applyAlignment="1">
      <alignment horizontal="center" vertical="center" wrapText="1"/>
    </xf>
    <xf numFmtId="2" fontId="7" fillId="6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164" fontId="11" fillId="8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" fontId="11" fillId="8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1" fontId="5" fillId="9" borderId="2" xfId="0" applyNumberFormat="1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164" fontId="15" fillId="6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64" fontId="8" fillId="8" borderId="2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showGridLines="0" zoomScaleNormal="100" workbookViewId="0">
      <selection activeCell="B3" sqref="B3:D3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45" style="1" customWidth="1"/>
    <col min="4" max="4" width="20" style="1" customWidth="1"/>
  </cols>
  <sheetData>
    <row r="2" spans="2:4" ht="54.75" customHeight="1" x14ac:dyDescent="0.25">
      <c r="B2" s="56" t="s">
        <v>0</v>
      </c>
      <c r="C2" s="56"/>
      <c r="D2" s="56"/>
    </row>
    <row r="3" spans="2:4" ht="15" customHeight="1" x14ac:dyDescent="0.25">
      <c r="B3" s="57" t="s">
        <v>1</v>
      </c>
      <c r="C3" s="57"/>
      <c r="D3" s="57"/>
    </row>
    <row r="5" spans="2:4" ht="15" customHeight="1" x14ac:dyDescent="0.25">
      <c r="B5" s="2" t="s">
        <v>2</v>
      </c>
    </row>
    <row r="6" spans="2:4" ht="21.75" customHeight="1" x14ac:dyDescent="0.25">
      <c r="B6" s="3" t="s">
        <v>3</v>
      </c>
      <c r="C6" s="55" t="s">
        <v>4</v>
      </c>
      <c r="D6" s="55"/>
    </row>
    <row r="7" spans="2:4" ht="21.75" customHeight="1" x14ac:dyDescent="0.25">
      <c r="B7" s="3" t="s">
        <v>5</v>
      </c>
      <c r="C7" s="55" t="s">
        <v>6</v>
      </c>
      <c r="D7" s="55"/>
    </row>
    <row r="8" spans="2:4" ht="21.75" customHeight="1" x14ac:dyDescent="0.25">
      <c r="B8" s="3" t="s">
        <v>7</v>
      </c>
      <c r="C8" s="55" t="s">
        <v>8</v>
      </c>
      <c r="D8" s="55"/>
    </row>
    <row r="9" spans="2:4" ht="21.75" customHeight="1" x14ac:dyDescent="0.25">
      <c r="B9" s="3" t="s">
        <v>9</v>
      </c>
      <c r="C9" s="55" t="s">
        <v>10</v>
      </c>
      <c r="D9" s="55"/>
    </row>
    <row r="10" spans="2:4" ht="21.75" customHeight="1" x14ac:dyDescent="0.25">
      <c r="B10" s="3" t="s">
        <v>11</v>
      </c>
      <c r="C10" s="55" t="s">
        <v>12</v>
      </c>
      <c r="D10" s="55"/>
    </row>
  </sheetData>
  <mergeCells count="7">
    <mergeCell ref="C9:D9"/>
    <mergeCell ref="C10:D10"/>
    <mergeCell ref="B2:D2"/>
    <mergeCell ref="B3:D3"/>
    <mergeCell ref="C6:D6"/>
    <mergeCell ref="C7:D7"/>
    <mergeCell ref="C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showGridLines="0" tabSelected="1" zoomScaleNormal="100" workbookViewId="0">
      <selection activeCell="L15" sqref="L15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9" width="11" style="1" customWidth="1"/>
    <col min="10" max="10" width="14" style="1" customWidth="1"/>
    <col min="11" max="12" width="12" style="1" customWidth="1"/>
    <col min="13" max="13" width="14" style="1" customWidth="1"/>
  </cols>
  <sheetData>
    <row r="1" spans="2:14" ht="15" customHeight="1" x14ac:dyDescent="0.25">
      <c r="B1" s="59" t="s">
        <v>13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2:14" ht="15" customHeight="1" x14ac:dyDescent="0.25">
      <c r="B2" s="57" t="s">
        <v>14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4" spans="2:14" ht="15" customHeight="1" x14ac:dyDescent="0.25">
      <c r="B4" s="60" t="s">
        <v>15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2:14" ht="39.75" customHeight="1" x14ac:dyDescent="0.25"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</row>
    <row r="6" spans="2:14" ht="25.5" x14ac:dyDescent="0.25">
      <c r="B6" s="6">
        <v>1</v>
      </c>
      <c r="C6" s="4" t="s">
        <v>28</v>
      </c>
      <c r="D6" s="6">
        <v>8</v>
      </c>
      <c r="E6" s="6">
        <v>7</v>
      </c>
      <c r="F6" s="6">
        <v>9</v>
      </c>
      <c r="G6" s="6">
        <v>8</v>
      </c>
      <c r="H6" s="6">
        <v>9</v>
      </c>
      <c r="I6" s="6">
        <v>7</v>
      </c>
      <c r="J6" s="6">
        <v>8</v>
      </c>
      <c r="K6" s="7">
        <f t="shared" ref="K6:K15" si="0">SUM(D6:J6)</f>
        <v>56</v>
      </c>
      <c r="L6" s="8">
        <f t="shared" ref="L6:L15" si="1">AVERAGE(D6:J6)</f>
        <v>8</v>
      </c>
      <c r="M6" s="9" t="str">
        <f t="shared" ref="M6:M15" si="2">J25</f>
        <v>K1</v>
      </c>
    </row>
    <row r="7" spans="2:14" ht="25.5" x14ac:dyDescent="0.25">
      <c r="B7" s="10">
        <v>2</v>
      </c>
      <c r="C7" s="11" t="s">
        <v>29</v>
      </c>
      <c r="D7" s="10">
        <v>5</v>
      </c>
      <c r="E7" s="10">
        <v>6</v>
      </c>
      <c r="F7" s="10">
        <v>5</v>
      </c>
      <c r="G7" s="10">
        <v>6</v>
      </c>
      <c r="H7" s="10">
        <v>5</v>
      </c>
      <c r="I7" s="10">
        <v>6</v>
      </c>
      <c r="J7" s="10">
        <v>5</v>
      </c>
      <c r="K7" s="12">
        <f t="shared" si="0"/>
        <v>38</v>
      </c>
      <c r="L7" s="13">
        <f t="shared" si="1"/>
        <v>5.4285714285714288</v>
      </c>
      <c r="M7" s="9" t="str">
        <f t="shared" si="2"/>
        <v>K3</v>
      </c>
    </row>
    <row r="8" spans="2:14" x14ac:dyDescent="0.25">
      <c r="B8" s="6">
        <v>3</v>
      </c>
      <c r="C8" s="4" t="s">
        <v>30</v>
      </c>
      <c r="D8" s="6">
        <v>9</v>
      </c>
      <c r="E8" s="6">
        <v>9</v>
      </c>
      <c r="F8" s="6">
        <v>8</v>
      </c>
      <c r="G8" s="6">
        <v>9</v>
      </c>
      <c r="H8" s="6">
        <v>9</v>
      </c>
      <c r="I8" s="6">
        <v>8</v>
      </c>
      <c r="J8" s="6">
        <v>9</v>
      </c>
      <c r="K8" s="7">
        <f t="shared" si="0"/>
        <v>61</v>
      </c>
      <c r="L8" s="8">
        <f t="shared" si="1"/>
        <v>8.7142857142857135</v>
      </c>
      <c r="M8" s="9" t="str">
        <f t="shared" si="2"/>
        <v>K1</v>
      </c>
    </row>
    <row r="9" spans="2:14" x14ac:dyDescent="0.25">
      <c r="B9" s="10">
        <v>4</v>
      </c>
      <c r="C9" s="11" t="s">
        <v>31</v>
      </c>
      <c r="D9" s="10">
        <v>6</v>
      </c>
      <c r="E9" s="10">
        <v>5</v>
      </c>
      <c r="F9" s="10">
        <v>6</v>
      </c>
      <c r="G9" s="10">
        <v>5</v>
      </c>
      <c r="H9" s="10">
        <v>6</v>
      </c>
      <c r="I9" s="10">
        <v>5</v>
      </c>
      <c r="J9" s="10">
        <v>6</v>
      </c>
      <c r="K9" s="12">
        <f t="shared" si="0"/>
        <v>39</v>
      </c>
      <c r="L9" s="13">
        <f t="shared" si="1"/>
        <v>5.5714285714285712</v>
      </c>
      <c r="M9" s="9" t="str">
        <f t="shared" si="2"/>
        <v>K2</v>
      </c>
    </row>
    <row r="10" spans="2:14" ht="25.5" x14ac:dyDescent="0.25">
      <c r="B10" s="6">
        <v>5</v>
      </c>
      <c r="C10" s="4" t="s">
        <v>32</v>
      </c>
      <c r="D10" s="6">
        <v>7</v>
      </c>
      <c r="E10" s="6">
        <v>8</v>
      </c>
      <c r="F10" s="6">
        <v>7</v>
      </c>
      <c r="G10" s="6">
        <v>8</v>
      </c>
      <c r="H10" s="6">
        <v>7</v>
      </c>
      <c r="I10" s="6">
        <v>8</v>
      </c>
      <c r="J10" s="6">
        <v>7</v>
      </c>
      <c r="K10" s="7">
        <f t="shared" si="0"/>
        <v>52</v>
      </c>
      <c r="L10" s="8">
        <f t="shared" si="1"/>
        <v>7.4285714285714288</v>
      </c>
      <c r="M10" s="9" t="str">
        <f t="shared" si="2"/>
        <v>K2</v>
      </c>
    </row>
    <row r="11" spans="2:14" ht="25.5" x14ac:dyDescent="0.25">
      <c r="B11" s="10">
        <v>6</v>
      </c>
      <c r="C11" s="11" t="s">
        <v>33</v>
      </c>
      <c r="D11" s="10">
        <v>4</v>
      </c>
      <c r="E11" s="10">
        <v>5</v>
      </c>
      <c r="F11" s="10">
        <v>4</v>
      </c>
      <c r="G11" s="10">
        <v>5</v>
      </c>
      <c r="H11" s="10">
        <v>4</v>
      </c>
      <c r="I11" s="10">
        <v>5</v>
      </c>
      <c r="J11" s="10">
        <v>4</v>
      </c>
      <c r="K11" s="12">
        <f t="shared" si="0"/>
        <v>31</v>
      </c>
      <c r="L11" s="13">
        <f t="shared" si="1"/>
        <v>4.4285714285714288</v>
      </c>
      <c r="M11" s="9" t="str">
        <f t="shared" si="2"/>
        <v>K3</v>
      </c>
    </row>
    <row r="12" spans="2:14" ht="25.5" x14ac:dyDescent="0.25">
      <c r="B12" s="6">
        <v>7</v>
      </c>
      <c r="C12" s="4" t="s">
        <v>34</v>
      </c>
      <c r="D12" s="6">
        <v>9</v>
      </c>
      <c r="E12" s="6">
        <v>8</v>
      </c>
      <c r="F12" s="6">
        <v>9</v>
      </c>
      <c r="G12" s="6">
        <v>9</v>
      </c>
      <c r="H12" s="6">
        <v>8</v>
      </c>
      <c r="I12" s="6">
        <v>9</v>
      </c>
      <c r="J12" s="6">
        <v>8</v>
      </c>
      <c r="K12" s="7">
        <f t="shared" si="0"/>
        <v>60</v>
      </c>
      <c r="L12" s="8">
        <f t="shared" si="1"/>
        <v>8.5714285714285712</v>
      </c>
      <c r="M12" s="9" t="str">
        <f t="shared" si="2"/>
        <v>K1</v>
      </c>
    </row>
    <row r="13" spans="2:14" x14ac:dyDescent="0.25">
      <c r="B13" s="10">
        <v>8</v>
      </c>
      <c r="C13" s="11" t="s">
        <v>35</v>
      </c>
      <c r="D13" s="10">
        <v>6</v>
      </c>
      <c r="E13" s="10">
        <v>6</v>
      </c>
      <c r="F13" s="10">
        <v>7</v>
      </c>
      <c r="G13" s="10">
        <v>6</v>
      </c>
      <c r="H13" s="10">
        <v>7</v>
      </c>
      <c r="I13" s="10">
        <v>6</v>
      </c>
      <c r="J13" s="10">
        <v>7</v>
      </c>
      <c r="K13" s="12">
        <f t="shared" si="0"/>
        <v>45</v>
      </c>
      <c r="L13" s="13">
        <f t="shared" si="1"/>
        <v>6.4285714285714288</v>
      </c>
      <c r="M13" s="9" t="str">
        <f t="shared" si="2"/>
        <v>K2</v>
      </c>
    </row>
    <row r="14" spans="2:14" ht="25.5" x14ac:dyDescent="0.25">
      <c r="B14" s="6">
        <v>9</v>
      </c>
      <c r="C14" s="4" t="s">
        <v>36</v>
      </c>
      <c r="D14" s="6">
        <v>8</v>
      </c>
      <c r="E14" s="6">
        <v>9</v>
      </c>
      <c r="F14" s="6">
        <v>8</v>
      </c>
      <c r="G14" s="6">
        <v>8</v>
      </c>
      <c r="H14" s="6">
        <v>9</v>
      </c>
      <c r="I14" s="6">
        <v>9</v>
      </c>
      <c r="J14" s="6">
        <v>8</v>
      </c>
      <c r="K14" s="7">
        <f t="shared" si="0"/>
        <v>59</v>
      </c>
      <c r="L14" s="8">
        <f t="shared" si="1"/>
        <v>8.4285714285714288</v>
      </c>
      <c r="M14" s="9" t="str">
        <f t="shared" si="2"/>
        <v>K1</v>
      </c>
    </row>
    <row r="15" spans="2:14" ht="25.5" x14ac:dyDescent="0.25">
      <c r="B15" s="10">
        <v>10</v>
      </c>
      <c r="C15" s="11" t="s">
        <v>37</v>
      </c>
      <c r="D15" s="10">
        <v>5</v>
      </c>
      <c r="E15" s="10">
        <v>4</v>
      </c>
      <c r="F15" s="10">
        <v>5</v>
      </c>
      <c r="G15" s="10">
        <v>4</v>
      </c>
      <c r="H15" s="10">
        <v>5</v>
      </c>
      <c r="I15" s="10">
        <v>4</v>
      </c>
      <c r="J15" s="10">
        <v>5</v>
      </c>
      <c r="K15" s="12">
        <f t="shared" si="0"/>
        <v>32</v>
      </c>
      <c r="L15" s="13">
        <f t="shared" si="1"/>
        <v>4.5714285714285712</v>
      </c>
      <c r="M15" s="9" t="str">
        <f t="shared" si="2"/>
        <v>K3</v>
      </c>
    </row>
    <row r="17" spans="2:14" x14ac:dyDescent="0.25">
      <c r="B17" s="60" t="s">
        <v>38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2:14" x14ac:dyDescent="0.25">
      <c r="B18" s="5" t="s">
        <v>27</v>
      </c>
      <c r="C18" s="5" t="s">
        <v>39</v>
      </c>
      <c r="D18" s="5" t="s">
        <v>40</v>
      </c>
      <c r="E18" s="5" t="s">
        <v>41</v>
      </c>
      <c r="F18" s="5" t="s">
        <v>42</v>
      </c>
      <c r="G18" s="5" t="s">
        <v>43</v>
      </c>
      <c r="H18" s="5" t="s">
        <v>44</v>
      </c>
      <c r="I18" s="5" t="s">
        <v>45</v>
      </c>
      <c r="J18" s="5" t="s">
        <v>46</v>
      </c>
    </row>
    <row r="19" spans="2:14" ht="25.5" x14ac:dyDescent="0.25">
      <c r="B19" s="14" t="s">
        <v>47</v>
      </c>
      <c r="C19" s="15">
        <v>8.5</v>
      </c>
      <c r="D19" s="15">
        <v>8.3000000000000007</v>
      </c>
      <c r="E19" s="15">
        <v>8.5</v>
      </c>
      <c r="F19" s="15">
        <v>8.5</v>
      </c>
      <c r="G19" s="15">
        <v>8.6999999999999993</v>
      </c>
      <c r="H19" s="15">
        <v>8.3000000000000007</v>
      </c>
      <c r="I19" s="15">
        <v>8.3000000000000007</v>
      </c>
      <c r="J19" s="14" t="s">
        <v>48</v>
      </c>
    </row>
    <row r="20" spans="2:14" ht="25.5" x14ac:dyDescent="0.25">
      <c r="B20" s="16" t="s">
        <v>49</v>
      </c>
      <c r="C20" s="17">
        <v>6.5</v>
      </c>
      <c r="D20" s="17">
        <v>6.5</v>
      </c>
      <c r="E20" s="17">
        <v>6.7</v>
      </c>
      <c r="F20" s="17">
        <v>6.7</v>
      </c>
      <c r="G20" s="17">
        <v>6.7</v>
      </c>
      <c r="H20" s="17">
        <v>6.5</v>
      </c>
      <c r="I20" s="17">
        <v>6.7</v>
      </c>
      <c r="J20" s="16" t="s">
        <v>50</v>
      </c>
    </row>
    <row r="21" spans="2:14" ht="25.5" x14ac:dyDescent="0.25">
      <c r="B21" s="18" t="s">
        <v>51</v>
      </c>
      <c r="C21" s="19">
        <v>4.7</v>
      </c>
      <c r="D21" s="19">
        <v>5</v>
      </c>
      <c r="E21" s="19">
        <v>4.7</v>
      </c>
      <c r="F21" s="19">
        <v>5</v>
      </c>
      <c r="G21" s="19">
        <v>4.7</v>
      </c>
      <c r="H21" s="19">
        <v>5</v>
      </c>
      <c r="I21" s="19">
        <v>4.7</v>
      </c>
      <c r="J21" s="18" t="s">
        <v>52</v>
      </c>
    </row>
    <row r="23" spans="2:14" ht="15" customHeight="1" x14ac:dyDescent="0.25">
      <c r="B23" s="60" t="s">
        <v>53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  <row r="24" spans="2:14" ht="25.5" x14ac:dyDescent="0.25">
      <c r="B24" s="5" t="s">
        <v>16</v>
      </c>
      <c r="C24" s="5" t="s">
        <v>54</v>
      </c>
      <c r="D24" s="5" t="s">
        <v>55</v>
      </c>
      <c r="E24" s="5" t="s">
        <v>56</v>
      </c>
      <c r="F24" s="5" t="s">
        <v>57</v>
      </c>
      <c r="G24" s="5" t="s">
        <v>58</v>
      </c>
      <c r="H24" s="5" t="s">
        <v>59</v>
      </c>
      <c r="I24" s="5" t="s">
        <v>60</v>
      </c>
      <c r="J24" s="5" t="s">
        <v>61</v>
      </c>
      <c r="K24" s="5" t="s">
        <v>62</v>
      </c>
    </row>
    <row r="25" spans="2:14" ht="25.5" x14ac:dyDescent="0.25">
      <c r="B25" s="6">
        <v>1</v>
      </c>
      <c r="C25" s="4" t="str">
        <f>'TAHAP 1 – K-MEANS'!C6</f>
        <v>Andi Setiawan</v>
      </c>
      <c r="D25" s="20">
        <f>(D6-C19)^2+(D6-D19)^2+(D6-E19)^2+(D6-F19)^2+(D6-G19)^2+(D6-H19)^2+(D6-I19)^2</f>
        <v>1.5100000000000005</v>
      </c>
      <c r="E25" s="20">
        <f>(D6-C20)^2+(D6-D20)^2+(D6-E20)^2+(D6-F20)^2+(D6-G20)^2+(D6-H20)^2+(D6-I20)^2</f>
        <v>13.509999999999998</v>
      </c>
      <c r="F25" s="20">
        <f>(D6-C21)^2+(D6-D21)^2+(D6-E21)^2+(D6-F21)^2+(D6-G21)^2+(D6-H21)^2+(D6-I21)^2</f>
        <v>70.56</v>
      </c>
      <c r="G25" s="20">
        <f t="shared" ref="G25:G34" si="3">SQRT(D25)</f>
        <v>1.228820572744451</v>
      </c>
      <c r="H25" s="20">
        <f t="shared" ref="H25:H34" si="4">SQRT(E25)</f>
        <v>3.675595189897821</v>
      </c>
      <c r="I25" s="20">
        <f t="shared" ref="I25:I34" si="5">SQRT(F25)</f>
        <v>8.4</v>
      </c>
      <c r="J25" s="21" t="str">
        <f t="shared" ref="J25:J34" si="6">IF(AND(G25&lt;=H25,G25&lt;=I25),"K1",IF(H25&lt;=I25,"K2","K3"))</f>
        <v>K1</v>
      </c>
      <c r="K25" s="21" t="str">
        <f t="shared" ref="K25:K34" si="7">IF(J25="K1","TINGGI",IF(J25="K2","SEDANG","RENDAH"))</f>
        <v>TINGGI</v>
      </c>
    </row>
    <row r="26" spans="2:14" ht="25.5" x14ac:dyDescent="0.25">
      <c r="B26" s="10">
        <v>2</v>
      </c>
      <c r="C26" s="11" t="str">
        <f>'TAHAP 1 – K-MEANS'!C7</f>
        <v>Budi Santoso</v>
      </c>
      <c r="D26" s="22">
        <f>(D7-C19)^2+(D7-D19)^2+(D7-E19)^2+(D7-F19)^2+(D7-G19)^2+(D7-H19)^2+(D7-I19)^2</f>
        <v>83.11</v>
      </c>
      <c r="E26" s="22">
        <f>(D7-C20)^2+(D7-D20)^2+(D7-E20)^2+(D7-F20)^2+(D7-G20)^2+(D7-H20)^2+(D7-I20)^2</f>
        <v>18.310000000000002</v>
      </c>
      <c r="F26" s="22">
        <f>(D7-C21)^2+(D7-D21)^2+(D7-E21)^2+(D7-F21)^2+(D7-G21)^2+(D7-H21)^2+(D7-I21)^2</f>
        <v>0.3599999999999996</v>
      </c>
      <c r="G26" s="22">
        <f t="shared" si="3"/>
        <v>9.1164686145458749</v>
      </c>
      <c r="H26" s="22">
        <f t="shared" si="4"/>
        <v>4.2790185790669337</v>
      </c>
      <c r="I26" s="22">
        <f t="shared" si="5"/>
        <v>0.59999999999999964</v>
      </c>
      <c r="J26" s="23" t="str">
        <f t="shared" si="6"/>
        <v>K3</v>
      </c>
      <c r="K26" s="23" t="str">
        <f t="shared" si="7"/>
        <v>RENDAH</v>
      </c>
    </row>
    <row r="27" spans="2:14" x14ac:dyDescent="0.25">
      <c r="B27" s="6">
        <v>3</v>
      </c>
      <c r="C27" s="4" t="str">
        <f>'TAHAP 1 – K-MEANS'!C8</f>
        <v>Citra Dewi</v>
      </c>
      <c r="D27" s="20">
        <f>(D8-C19)^2+(D8-D19)^2+(D8-E19)^2+(D8-F19)^2+(D8-G19)^2+(D8-H19)^2+(D8-I19)^2</f>
        <v>2.3099999999999974</v>
      </c>
      <c r="E27" s="20">
        <f>(D8-C20)^2+(D8-D20)^2+(D8-E20)^2+(D8-F20)^2+(D8-G20)^2+(D8-H20)^2+(D8-I20)^2</f>
        <v>39.909999999999997</v>
      </c>
      <c r="F27" s="20">
        <f>(D8-C21)^2+(D8-D21)^2+(D8-E21)^2+(D8-F21)^2+(D8-G21)^2+(D8-H21)^2+(D8-I21)^2</f>
        <v>121.95999999999998</v>
      </c>
      <c r="G27" s="20">
        <f t="shared" si="3"/>
        <v>1.5198684153570654</v>
      </c>
      <c r="H27" s="20">
        <f t="shared" si="4"/>
        <v>6.3174361888348347</v>
      </c>
      <c r="I27" s="20">
        <f t="shared" si="5"/>
        <v>11.043550153822817</v>
      </c>
      <c r="J27" s="21" t="str">
        <f t="shared" si="6"/>
        <v>K1</v>
      </c>
      <c r="K27" s="21" t="str">
        <f t="shared" si="7"/>
        <v>TINGGI</v>
      </c>
    </row>
    <row r="28" spans="2:14" x14ac:dyDescent="0.25">
      <c r="B28" s="10">
        <v>4</v>
      </c>
      <c r="C28" s="11" t="str">
        <f>'TAHAP 1 – K-MEANS'!C9</f>
        <v>Dian Pratiwi</v>
      </c>
      <c r="D28" s="22">
        <f>(D9-C19)^2+(D9-D19)^2+(D9-E19)^2+(D9-F19)^2+(D9-G19)^2+(D9-H19)^2+(D9-I19)^2</f>
        <v>41.910000000000011</v>
      </c>
      <c r="E28" s="22">
        <f>(D9-C20)^2+(D9-D20)^2+(D9-E20)^2+(D9-F20)^2+(D9-G20)^2+(D9-H20)^2+(D9-I20)^2</f>
        <v>2.7100000000000009</v>
      </c>
      <c r="F28" s="22">
        <f>(D9-C21)^2+(D9-D21)^2+(D9-E21)^2+(D9-F21)^2+(D9-G21)^2+(D9-H21)^2+(D9-I21)^2</f>
        <v>9.759999999999998</v>
      </c>
      <c r="G28" s="22">
        <f t="shared" si="3"/>
        <v>6.4737933238558067</v>
      </c>
      <c r="H28" s="22">
        <f t="shared" si="4"/>
        <v>1.6462077633154331</v>
      </c>
      <c r="I28" s="22">
        <f t="shared" si="5"/>
        <v>3.1240998703626612</v>
      </c>
      <c r="J28" s="23" t="str">
        <f t="shared" si="6"/>
        <v>K2</v>
      </c>
      <c r="K28" s="23" t="str">
        <f t="shared" si="7"/>
        <v>SEDANG</v>
      </c>
    </row>
    <row r="29" spans="2:14" ht="25.5" x14ac:dyDescent="0.25">
      <c r="B29" s="6">
        <v>5</v>
      </c>
      <c r="C29" s="4" t="str">
        <f>'TAHAP 1 – K-MEANS'!C10</f>
        <v>Eko Wahyudi</v>
      </c>
      <c r="D29" s="20">
        <f>(D10-C19)^2+(D10-D19)^2+(D10-E19)^2+(D10-F19)^2+(D10-G19)^2+(D10-H19)^2+(D10-I19)^2</f>
        <v>14.71</v>
      </c>
      <c r="E29" s="20">
        <f>(D10-C20)^2+(D10-D20)^2+(D10-E20)^2+(D10-F20)^2+(D10-G20)^2+(D10-H20)^2+(D10-I20)^2</f>
        <v>1.1099999999999994</v>
      </c>
      <c r="F29" s="20">
        <f>(D10-C21)^2+(D10-D21)^2+(D10-E21)^2+(D10-F21)^2+(D10-G21)^2+(D10-H21)^2+(D10-I21)^2</f>
        <v>33.159999999999997</v>
      </c>
      <c r="G29" s="20">
        <f t="shared" si="3"/>
        <v>3.8353617821530213</v>
      </c>
      <c r="H29" s="20">
        <f t="shared" si="4"/>
        <v>1.0535653752852736</v>
      </c>
      <c r="I29" s="20">
        <f t="shared" si="5"/>
        <v>5.7584720195551871</v>
      </c>
      <c r="J29" s="21" t="str">
        <f t="shared" si="6"/>
        <v>K2</v>
      </c>
      <c r="K29" s="21" t="str">
        <f t="shared" si="7"/>
        <v>SEDANG</v>
      </c>
    </row>
    <row r="30" spans="2:14" ht="25.5" x14ac:dyDescent="0.25">
      <c r="B30" s="10">
        <v>6</v>
      </c>
      <c r="C30" s="11" t="str">
        <f>'TAHAP 1 – K-MEANS'!C11</f>
        <v>Fitri Handayani</v>
      </c>
      <c r="D30" s="22">
        <f>(D11-C19)^2+(D11-D19)^2+(D11-E19)^2+(D11-F19)^2+(D11-G19)^2+(D11-H19)^2+(D11-I19)^2</f>
        <v>138.31</v>
      </c>
      <c r="E30" s="22">
        <f>(D11-C20)^2+(D11-D20)^2+(D11-E20)^2+(D11-F20)^2+(D11-G20)^2+(D11-H20)^2+(D11-I20)^2</f>
        <v>47.91</v>
      </c>
      <c r="F30" s="22">
        <f>(D11-C21)^2+(D11-D21)^2+(D11-E21)^2+(D11-F21)^2+(D11-G21)^2+(D11-H21)^2+(D11-I21)^2</f>
        <v>4.9600000000000009</v>
      </c>
      <c r="G30" s="22">
        <f t="shared" si="3"/>
        <v>11.760527199067226</v>
      </c>
      <c r="H30" s="22">
        <f t="shared" si="4"/>
        <v>6.921704992268884</v>
      </c>
      <c r="I30" s="22">
        <f t="shared" si="5"/>
        <v>2.2271057451320089</v>
      </c>
      <c r="J30" s="23" t="str">
        <f t="shared" si="6"/>
        <v>K3</v>
      </c>
      <c r="K30" s="23" t="str">
        <f t="shared" si="7"/>
        <v>RENDAH</v>
      </c>
    </row>
    <row r="31" spans="2:14" ht="25.5" x14ac:dyDescent="0.25">
      <c r="B31" s="6">
        <v>7</v>
      </c>
      <c r="C31" s="4" t="str">
        <f>'TAHAP 1 – K-MEANS'!C12</f>
        <v>Galih Nugroho</v>
      </c>
      <c r="D31" s="20">
        <f>(D12-C19)^2+(D12-D19)^2+(D12-E19)^2+(D12-F19)^2+(D12-G19)^2+(D12-H19)^2+(D12-I19)^2</f>
        <v>2.3099999999999974</v>
      </c>
      <c r="E31" s="20">
        <f>(D12-C20)^2+(D12-D20)^2+(D12-E20)^2+(D12-F20)^2+(D12-G20)^2+(D12-H20)^2+(D12-I20)^2</f>
        <v>39.909999999999997</v>
      </c>
      <c r="F31" s="20">
        <f>(D12-C21)^2+(D12-D21)^2+(D12-E21)^2+(D12-F21)^2+(D12-G21)^2+(D12-H21)^2+(D12-I21)^2</f>
        <v>121.95999999999998</v>
      </c>
      <c r="G31" s="20">
        <f t="shared" si="3"/>
        <v>1.5198684153570654</v>
      </c>
      <c r="H31" s="20">
        <f t="shared" si="4"/>
        <v>6.3174361888348347</v>
      </c>
      <c r="I31" s="20">
        <f t="shared" si="5"/>
        <v>11.043550153822817</v>
      </c>
      <c r="J31" s="21" t="str">
        <f t="shared" si="6"/>
        <v>K1</v>
      </c>
      <c r="K31" s="21" t="str">
        <f t="shared" si="7"/>
        <v>TINGGI</v>
      </c>
    </row>
    <row r="32" spans="2:14" x14ac:dyDescent="0.25">
      <c r="B32" s="10">
        <v>8</v>
      </c>
      <c r="C32" s="11" t="str">
        <f>'TAHAP 1 – K-MEANS'!C13</f>
        <v>Hana Putri</v>
      </c>
      <c r="D32" s="22">
        <f>(D13-C19)^2+(D13-D19)^2+(D13-E19)^2+(D13-F19)^2+(D13-G19)^2+(D13-H19)^2+(D13-I19)^2</f>
        <v>41.910000000000011</v>
      </c>
      <c r="E32" s="22">
        <f>(D13-C20)^2+(D13-D20)^2+(D13-E20)^2+(D13-F20)^2+(D13-G20)^2+(D13-H20)^2+(D13-I20)^2</f>
        <v>2.7100000000000009</v>
      </c>
      <c r="F32" s="22">
        <f>(D13-C21)^2+(D13-D21)^2+(D13-E21)^2+(D13-F21)^2+(D13-G21)^2+(D13-H21)^2+(D13-I21)^2</f>
        <v>9.759999999999998</v>
      </c>
      <c r="G32" s="22">
        <f t="shared" si="3"/>
        <v>6.4737933238558067</v>
      </c>
      <c r="H32" s="22">
        <f t="shared" si="4"/>
        <v>1.6462077633154331</v>
      </c>
      <c r="I32" s="22">
        <f t="shared" si="5"/>
        <v>3.1240998703626612</v>
      </c>
      <c r="J32" s="23" t="str">
        <f t="shared" si="6"/>
        <v>K2</v>
      </c>
      <c r="K32" s="23" t="str">
        <f t="shared" si="7"/>
        <v>SEDANG</v>
      </c>
    </row>
    <row r="33" spans="2:14" ht="25.5" x14ac:dyDescent="0.25">
      <c r="B33" s="6">
        <v>9</v>
      </c>
      <c r="C33" s="4" t="str">
        <f>'TAHAP 1 – K-MEANS'!C14</f>
        <v>Indra Kusuma</v>
      </c>
      <c r="D33" s="20">
        <f>(D14-C19)^2+(D14-D19)^2+(D14-E19)^2+(D14-F19)^2+(D14-G19)^2+(D14-H19)^2+(D14-I19)^2</f>
        <v>1.5100000000000005</v>
      </c>
      <c r="E33" s="20">
        <f>(D14-C20)^2+(D14-D20)^2+(D14-E20)^2+(D14-F20)^2+(D14-G20)^2+(D14-H20)^2+(D14-I20)^2</f>
        <v>13.509999999999998</v>
      </c>
      <c r="F33" s="20">
        <f>(D14-C21)^2+(D14-D21)^2+(D14-E21)^2+(D14-F21)^2+(D14-G21)^2+(D14-H21)^2+(D14-I21)^2</f>
        <v>70.56</v>
      </c>
      <c r="G33" s="20">
        <f t="shared" si="3"/>
        <v>1.228820572744451</v>
      </c>
      <c r="H33" s="20">
        <f t="shared" si="4"/>
        <v>3.675595189897821</v>
      </c>
      <c r="I33" s="20">
        <f t="shared" si="5"/>
        <v>8.4</v>
      </c>
      <c r="J33" s="21" t="str">
        <f t="shared" si="6"/>
        <v>K1</v>
      </c>
      <c r="K33" s="21" t="str">
        <f t="shared" si="7"/>
        <v>TINGGI</v>
      </c>
    </row>
    <row r="34" spans="2:14" ht="25.5" x14ac:dyDescent="0.25">
      <c r="B34" s="10">
        <v>10</v>
      </c>
      <c r="C34" s="11" t="str">
        <f>'TAHAP 1 – K-MEANS'!C15</f>
        <v>Joko Purnomo</v>
      </c>
      <c r="D34" s="22">
        <f>(D15-C19)^2+(D15-D19)^2+(D15-E19)^2+(D15-F19)^2+(D15-G19)^2+(D15-H19)^2+(D15-I19)^2</f>
        <v>83.11</v>
      </c>
      <c r="E34" s="22">
        <f>(D15-C20)^2+(D15-D20)^2+(D15-E20)^2+(D15-F20)^2+(D15-G20)^2+(D15-H20)^2+(D15-I20)^2</f>
        <v>18.310000000000002</v>
      </c>
      <c r="F34" s="22">
        <f>(D15-C21)^2+(D15-D21)^2+(D15-E21)^2+(D15-F21)^2+(D15-G21)^2+(D15-H21)^2+(D15-I21)^2</f>
        <v>0.3599999999999996</v>
      </c>
      <c r="G34" s="22">
        <f t="shared" si="3"/>
        <v>9.1164686145458749</v>
      </c>
      <c r="H34" s="22">
        <f t="shared" si="4"/>
        <v>4.2790185790669337</v>
      </c>
      <c r="I34" s="22">
        <f t="shared" si="5"/>
        <v>0.59999999999999964</v>
      </c>
      <c r="J34" s="23" t="str">
        <f t="shared" si="6"/>
        <v>K3</v>
      </c>
      <c r="K34" s="23" t="str">
        <f t="shared" si="7"/>
        <v>RENDAH</v>
      </c>
    </row>
    <row r="36" spans="2:14" ht="21.75" customHeight="1" x14ac:dyDescent="0.25">
      <c r="B36" s="58" t="s">
        <v>63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</row>
  </sheetData>
  <mergeCells count="6">
    <mergeCell ref="B36:N36"/>
    <mergeCell ref="B1:N1"/>
    <mergeCell ref="B2:N2"/>
    <mergeCell ref="B4:N4"/>
    <mergeCell ref="B17:N17"/>
    <mergeCell ref="B23:N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showGridLines="0" topLeftCell="A8" zoomScaleNormal="100" workbookViewId="0">
      <selection activeCell="C28" sqref="C28:K28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9" width="12" style="1" customWidth="1"/>
    <col min="10" max="11" width="14" style="1" customWidth="1"/>
  </cols>
  <sheetData>
    <row r="1" spans="2:11" ht="15" customHeight="1" x14ac:dyDescent="0.25">
      <c r="B1" s="59" t="s">
        <v>64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15" customHeight="1" x14ac:dyDescent="0.25">
      <c r="B2" s="57" t="s">
        <v>65</v>
      </c>
      <c r="C2" s="57"/>
      <c r="D2" s="57"/>
      <c r="E2" s="57"/>
      <c r="F2" s="57"/>
      <c r="G2" s="57"/>
      <c r="H2" s="57"/>
      <c r="I2" s="57"/>
      <c r="J2" s="57"/>
      <c r="K2" s="57"/>
    </row>
    <row r="4" spans="2:11" x14ac:dyDescent="0.25">
      <c r="B4" s="60" t="s">
        <v>66</v>
      </c>
      <c r="C4" s="60"/>
      <c r="D4" s="60"/>
      <c r="E4" s="60"/>
      <c r="F4" s="60"/>
      <c r="G4" s="60"/>
      <c r="H4" s="60"/>
      <c r="I4" s="60"/>
      <c r="J4" s="60"/>
      <c r="K4" s="60"/>
    </row>
    <row r="5" spans="2:11" ht="36" x14ac:dyDescent="0.25">
      <c r="B5" s="5" t="s">
        <v>67</v>
      </c>
      <c r="C5" s="24" t="s">
        <v>68</v>
      </c>
      <c r="D5" s="24" t="s">
        <v>69</v>
      </c>
      <c r="E5" s="24" t="s">
        <v>70</v>
      </c>
      <c r="F5" s="24" t="s">
        <v>71</v>
      </c>
      <c r="G5" s="24" t="s">
        <v>72</v>
      </c>
      <c r="H5" s="24" t="s">
        <v>73</v>
      </c>
      <c r="I5" s="24" t="s">
        <v>74</v>
      </c>
    </row>
    <row r="6" spans="2:11" x14ac:dyDescent="0.25">
      <c r="B6" s="25" t="s">
        <v>68</v>
      </c>
      <c r="C6" s="14">
        <v>1</v>
      </c>
      <c r="D6" s="10">
        <v>3</v>
      </c>
      <c r="E6" s="10">
        <v>5</v>
      </c>
      <c r="F6" s="10">
        <v>7</v>
      </c>
      <c r="G6" s="10">
        <v>5</v>
      </c>
      <c r="H6" s="10">
        <v>7</v>
      </c>
      <c r="I6" s="10">
        <v>9</v>
      </c>
    </row>
    <row r="7" spans="2:11" x14ac:dyDescent="0.25">
      <c r="B7" s="25" t="s">
        <v>69</v>
      </c>
      <c r="C7" s="20">
        <f>1/D6</f>
        <v>0.33333333333333331</v>
      </c>
      <c r="D7" s="14">
        <v>1</v>
      </c>
      <c r="E7" s="10">
        <v>3</v>
      </c>
      <c r="F7" s="10">
        <v>5</v>
      </c>
      <c r="G7" s="10">
        <v>3</v>
      </c>
      <c r="H7" s="10">
        <v>5</v>
      </c>
      <c r="I7" s="10">
        <v>7</v>
      </c>
    </row>
    <row r="8" spans="2:11" x14ac:dyDescent="0.25">
      <c r="B8" s="25" t="s">
        <v>70</v>
      </c>
      <c r="C8" s="20">
        <f>1/E6</f>
        <v>0.2</v>
      </c>
      <c r="D8" s="20">
        <f>1/E7</f>
        <v>0.33333333333333331</v>
      </c>
      <c r="E8" s="14">
        <v>1</v>
      </c>
      <c r="F8" s="10">
        <v>3</v>
      </c>
      <c r="G8" s="10">
        <v>1</v>
      </c>
      <c r="H8" s="10">
        <v>3</v>
      </c>
      <c r="I8" s="10">
        <v>5</v>
      </c>
    </row>
    <row r="9" spans="2:11" x14ac:dyDescent="0.25">
      <c r="B9" s="25" t="s">
        <v>71</v>
      </c>
      <c r="C9" s="20">
        <f>1/F6</f>
        <v>0.14285714285714285</v>
      </c>
      <c r="D9" s="20">
        <f>1/F7</f>
        <v>0.2</v>
      </c>
      <c r="E9" s="20">
        <f>1/F8</f>
        <v>0.33333333333333331</v>
      </c>
      <c r="F9" s="14">
        <v>1</v>
      </c>
      <c r="G9" s="10">
        <v>0.33333333333333298</v>
      </c>
      <c r="H9" s="10">
        <v>1</v>
      </c>
      <c r="I9" s="10">
        <v>3</v>
      </c>
    </row>
    <row r="10" spans="2:11" x14ac:dyDescent="0.25">
      <c r="B10" s="25" t="s">
        <v>72</v>
      </c>
      <c r="C10" s="20">
        <f>1/G6</f>
        <v>0.2</v>
      </c>
      <c r="D10" s="20">
        <f>1/G7</f>
        <v>0.33333333333333331</v>
      </c>
      <c r="E10" s="20">
        <f>1/G8</f>
        <v>1</v>
      </c>
      <c r="F10" s="20">
        <f>1/G9</f>
        <v>3.0000000000000031</v>
      </c>
      <c r="G10" s="14">
        <v>1</v>
      </c>
      <c r="H10" s="10">
        <v>3</v>
      </c>
      <c r="I10" s="10">
        <v>5</v>
      </c>
    </row>
    <row r="11" spans="2:11" x14ac:dyDescent="0.25">
      <c r="B11" s="25" t="s">
        <v>73</v>
      </c>
      <c r="C11" s="20">
        <f>1/H6</f>
        <v>0.14285714285714285</v>
      </c>
      <c r="D11" s="20">
        <f>1/H7</f>
        <v>0.2</v>
      </c>
      <c r="E11" s="20">
        <f>1/H8</f>
        <v>0.33333333333333331</v>
      </c>
      <c r="F11" s="20">
        <f>1/H9</f>
        <v>1</v>
      </c>
      <c r="G11" s="20">
        <f>1/H10</f>
        <v>0.33333333333333331</v>
      </c>
      <c r="H11" s="14">
        <v>1</v>
      </c>
      <c r="I11" s="10">
        <v>3</v>
      </c>
    </row>
    <row r="12" spans="2:11" x14ac:dyDescent="0.25">
      <c r="B12" s="25" t="s">
        <v>74</v>
      </c>
      <c r="C12" s="20">
        <f>1/I6</f>
        <v>0.1111111111111111</v>
      </c>
      <c r="D12" s="20">
        <f>1/I7</f>
        <v>0.14285714285714285</v>
      </c>
      <c r="E12" s="20">
        <f>1/I8</f>
        <v>0.2</v>
      </c>
      <c r="F12" s="20">
        <f>1/I9</f>
        <v>0.33333333333333331</v>
      </c>
      <c r="G12" s="20">
        <f>1/I10</f>
        <v>0.2</v>
      </c>
      <c r="H12" s="20">
        <f>1/I11</f>
        <v>0.33333333333333331</v>
      </c>
      <c r="I12" s="14">
        <v>1</v>
      </c>
    </row>
    <row r="13" spans="2:11" x14ac:dyDescent="0.25">
      <c r="B13" s="5" t="s">
        <v>75</v>
      </c>
      <c r="C13" s="26">
        <f t="shared" ref="C13:I13" si="0">SUM(C6:C12)</f>
        <v>2.1301587301587301</v>
      </c>
      <c r="D13" s="26">
        <f t="shared" si="0"/>
        <v>5.2095238095238097</v>
      </c>
      <c r="E13" s="26">
        <f t="shared" si="0"/>
        <v>10.866666666666667</v>
      </c>
      <c r="F13" s="26">
        <f t="shared" si="0"/>
        <v>20.333333333333336</v>
      </c>
      <c r="G13" s="26">
        <f t="shared" si="0"/>
        <v>10.866666666666665</v>
      </c>
      <c r="H13" s="26">
        <f t="shared" si="0"/>
        <v>20.333333333333332</v>
      </c>
      <c r="I13" s="26">
        <f t="shared" si="0"/>
        <v>33</v>
      </c>
    </row>
    <row r="15" spans="2:11" x14ac:dyDescent="0.25">
      <c r="B15" s="60" t="s">
        <v>76</v>
      </c>
      <c r="C15" s="60"/>
      <c r="D15" s="60"/>
      <c r="E15" s="60"/>
      <c r="F15" s="60"/>
      <c r="G15" s="60"/>
      <c r="H15" s="60"/>
      <c r="I15" s="60"/>
      <c r="J15" s="60"/>
      <c r="K15" s="60"/>
    </row>
    <row r="16" spans="2:11" ht="36" x14ac:dyDescent="0.25">
      <c r="B16" s="5" t="s">
        <v>77</v>
      </c>
      <c r="C16" s="24" t="s">
        <v>68</v>
      </c>
      <c r="D16" s="24" t="s">
        <v>69</v>
      </c>
      <c r="E16" s="24" t="s">
        <v>70</v>
      </c>
      <c r="F16" s="24" t="s">
        <v>71</v>
      </c>
      <c r="G16" s="24" t="s">
        <v>72</v>
      </c>
      <c r="H16" s="24" t="s">
        <v>73</v>
      </c>
      <c r="I16" s="24" t="s">
        <v>74</v>
      </c>
      <c r="J16" s="27" t="s">
        <v>78</v>
      </c>
    </row>
    <row r="17" spans="2:22" x14ac:dyDescent="0.25">
      <c r="B17" s="25" t="s">
        <v>68</v>
      </c>
      <c r="C17" s="28">
        <f t="shared" ref="C17:I17" si="1">C6/C13</f>
        <v>0.4694485842026826</v>
      </c>
      <c r="D17" s="22">
        <f t="shared" si="1"/>
        <v>0.57586837294332727</v>
      </c>
      <c r="E17" s="22">
        <f t="shared" si="1"/>
        <v>0.46012269938650302</v>
      </c>
      <c r="F17" s="22">
        <f t="shared" si="1"/>
        <v>0.34426229508196715</v>
      </c>
      <c r="G17" s="22">
        <f t="shared" si="1"/>
        <v>0.46012269938650313</v>
      </c>
      <c r="H17" s="22">
        <f t="shared" si="1"/>
        <v>0.34426229508196721</v>
      </c>
      <c r="I17" s="22">
        <f t="shared" si="1"/>
        <v>0.27272727272727271</v>
      </c>
      <c r="J17" s="29">
        <f t="shared" ref="J17:J23" si="2">AVERAGE(C17:I17)</f>
        <v>0.41811631697288909</v>
      </c>
      <c r="P17" s="28">
        <f t="shared" ref="P17:V17" si="3">C6/C13</f>
        <v>0.4694485842026826</v>
      </c>
      <c r="Q17" s="22">
        <f t="shared" si="3"/>
        <v>0.57586837294332727</v>
      </c>
      <c r="R17" s="22">
        <f t="shared" si="3"/>
        <v>0.46012269938650302</v>
      </c>
      <c r="S17" s="22">
        <f t="shared" si="3"/>
        <v>0.34426229508196715</v>
      </c>
      <c r="T17" s="22">
        <f t="shared" si="3"/>
        <v>0.46012269938650313</v>
      </c>
      <c r="U17" s="22">
        <f t="shared" si="3"/>
        <v>0.34426229508196721</v>
      </c>
      <c r="V17" s="22">
        <f t="shared" si="3"/>
        <v>0.27272727272727271</v>
      </c>
    </row>
    <row r="18" spans="2:22" x14ac:dyDescent="0.25">
      <c r="B18" s="25" t="s">
        <v>69</v>
      </c>
      <c r="C18" s="22">
        <f t="shared" ref="C18:I18" si="4">C7/C13</f>
        <v>0.15648286140089418</v>
      </c>
      <c r="D18" s="28">
        <f t="shared" si="4"/>
        <v>0.19195612431444239</v>
      </c>
      <c r="E18" s="22">
        <f t="shared" si="4"/>
        <v>0.2760736196319018</v>
      </c>
      <c r="F18" s="22">
        <f t="shared" si="4"/>
        <v>0.24590163934426226</v>
      </c>
      <c r="G18" s="22">
        <f t="shared" si="4"/>
        <v>0.27607361963190186</v>
      </c>
      <c r="H18" s="22">
        <f t="shared" si="4"/>
        <v>0.24590163934426232</v>
      </c>
      <c r="I18" s="22">
        <f t="shared" si="4"/>
        <v>0.21212121212121213</v>
      </c>
      <c r="J18" s="29">
        <f t="shared" si="2"/>
        <v>0.22921581654126813</v>
      </c>
      <c r="P18" s="22">
        <f t="shared" ref="P18:V18" si="5">C7/C13</f>
        <v>0.15648286140089418</v>
      </c>
      <c r="Q18" s="28">
        <f t="shared" si="5"/>
        <v>0.19195612431444239</v>
      </c>
      <c r="R18" s="22">
        <f t="shared" si="5"/>
        <v>0.2760736196319018</v>
      </c>
      <c r="S18" s="22">
        <f t="shared" si="5"/>
        <v>0.24590163934426226</v>
      </c>
      <c r="T18" s="22">
        <f t="shared" si="5"/>
        <v>0.27607361963190186</v>
      </c>
      <c r="U18" s="22">
        <f t="shared" si="5"/>
        <v>0.24590163934426232</v>
      </c>
      <c r="V18" s="22">
        <f t="shared" si="5"/>
        <v>0.21212121212121213</v>
      </c>
    </row>
    <row r="19" spans="2:22" x14ac:dyDescent="0.25">
      <c r="B19" s="25" t="s">
        <v>70</v>
      </c>
      <c r="C19" s="22">
        <f t="shared" ref="C19:I19" si="6">C8/C13</f>
        <v>9.3889716840536513E-2</v>
      </c>
      <c r="D19" s="22">
        <f t="shared" si="6"/>
        <v>6.3985374771480794E-2</v>
      </c>
      <c r="E19" s="28">
        <f t="shared" si="6"/>
        <v>9.202453987730061E-2</v>
      </c>
      <c r="F19" s="22">
        <f t="shared" si="6"/>
        <v>0.14754098360655735</v>
      </c>
      <c r="G19" s="22">
        <f t="shared" si="6"/>
        <v>9.2024539877300623E-2</v>
      </c>
      <c r="H19" s="22">
        <f t="shared" si="6"/>
        <v>0.14754098360655737</v>
      </c>
      <c r="I19" s="22">
        <f t="shared" si="6"/>
        <v>0.15151515151515152</v>
      </c>
      <c r="J19" s="29">
        <f t="shared" si="2"/>
        <v>0.11264589858498353</v>
      </c>
      <c r="P19" s="22">
        <f t="shared" ref="P19:V19" si="7">C8/C13</f>
        <v>9.3889716840536513E-2</v>
      </c>
      <c r="Q19" s="22">
        <f t="shared" si="7"/>
        <v>6.3985374771480794E-2</v>
      </c>
      <c r="R19" s="28">
        <f t="shared" si="7"/>
        <v>9.202453987730061E-2</v>
      </c>
      <c r="S19" s="22">
        <f t="shared" si="7"/>
        <v>0.14754098360655735</v>
      </c>
      <c r="T19" s="22">
        <f t="shared" si="7"/>
        <v>9.2024539877300623E-2</v>
      </c>
      <c r="U19" s="22">
        <f t="shared" si="7"/>
        <v>0.14754098360655737</v>
      </c>
      <c r="V19" s="22">
        <f t="shared" si="7"/>
        <v>0.15151515151515152</v>
      </c>
    </row>
    <row r="20" spans="2:22" x14ac:dyDescent="0.25">
      <c r="B20" s="25" t="s">
        <v>71</v>
      </c>
      <c r="C20" s="22">
        <f t="shared" ref="C20:I20" si="8">C9/C13</f>
        <v>6.7064083457526083E-2</v>
      </c>
      <c r="D20" s="22">
        <f t="shared" si="8"/>
        <v>3.8391224862888484E-2</v>
      </c>
      <c r="E20" s="22">
        <f t="shared" si="8"/>
        <v>3.0674846625766868E-2</v>
      </c>
      <c r="F20" s="28">
        <f t="shared" si="8"/>
        <v>4.9180327868852451E-2</v>
      </c>
      <c r="G20" s="22">
        <f t="shared" si="8"/>
        <v>3.0674846625766843E-2</v>
      </c>
      <c r="H20" s="22">
        <f t="shared" si="8"/>
        <v>4.9180327868852465E-2</v>
      </c>
      <c r="I20" s="22">
        <f t="shared" si="8"/>
        <v>9.0909090909090912E-2</v>
      </c>
      <c r="J20" s="29">
        <f t="shared" si="2"/>
        <v>5.0867821174106299E-2</v>
      </c>
      <c r="P20" s="22">
        <f t="shared" ref="P20:V20" si="9">C9/C13</f>
        <v>6.7064083457526083E-2</v>
      </c>
      <c r="Q20" s="22">
        <f t="shared" si="9"/>
        <v>3.8391224862888484E-2</v>
      </c>
      <c r="R20" s="22">
        <f t="shared" si="9"/>
        <v>3.0674846625766868E-2</v>
      </c>
      <c r="S20" s="28">
        <f t="shared" si="9"/>
        <v>4.9180327868852451E-2</v>
      </c>
      <c r="T20" s="22">
        <f t="shared" si="9"/>
        <v>3.0674846625766843E-2</v>
      </c>
      <c r="U20" s="22">
        <f t="shared" si="9"/>
        <v>4.9180327868852465E-2</v>
      </c>
      <c r="V20" s="22">
        <f t="shared" si="9"/>
        <v>9.0909090909090912E-2</v>
      </c>
    </row>
    <row r="21" spans="2:22" x14ac:dyDescent="0.25">
      <c r="B21" s="25" t="s">
        <v>72</v>
      </c>
      <c r="C21" s="22">
        <f t="shared" ref="C21:I21" si="10">C10/C13</f>
        <v>9.3889716840536513E-2</v>
      </c>
      <c r="D21" s="22">
        <f t="shared" si="10"/>
        <v>6.3985374771480794E-2</v>
      </c>
      <c r="E21" s="22">
        <f t="shared" si="10"/>
        <v>9.202453987730061E-2</v>
      </c>
      <c r="F21" s="22">
        <f t="shared" si="10"/>
        <v>0.14754098360655751</v>
      </c>
      <c r="G21" s="28">
        <f t="shared" si="10"/>
        <v>9.2024539877300623E-2</v>
      </c>
      <c r="H21" s="22">
        <f t="shared" si="10"/>
        <v>0.14754098360655737</v>
      </c>
      <c r="I21" s="22">
        <f t="shared" si="10"/>
        <v>0.15151515151515152</v>
      </c>
      <c r="J21" s="29">
        <f t="shared" si="2"/>
        <v>0.11264589858498356</v>
      </c>
      <c r="P21" s="22">
        <f t="shared" ref="P21:V21" si="11">C10/C13</f>
        <v>9.3889716840536513E-2</v>
      </c>
      <c r="Q21" s="22">
        <f t="shared" si="11"/>
        <v>6.3985374771480794E-2</v>
      </c>
      <c r="R21" s="22">
        <f t="shared" si="11"/>
        <v>9.202453987730061E-2</v>
      </c>
      <c r="S21" s="22">
        <f t="shared" si="11"/>
        <v>0.14754098360655751</v>
      </c>
      <c r="T21" s="28">
        <f t="shared" si="11"/>
        <v>9.2024539877300623E-2</v>
      </c>
      <c r="U21" s="22">
        <f t="shared" si="11"/>
        <v>0.14754098360655737</v>
      </c>
      <c r="V21" s="22">
        <f t="shared" si="11"/>
        <v>0.15151515151515152</v>
      </c>
    </row>
    <row r="22" spans="2:22" x14ac:dyDescent="0.25">
      <c r="B22" s="25" t="s">
        <v>73</v>
      </c>
      <c r="C22" s="22">
        <f t="shared" ref="C22:I22" si="12">C11/C13</f>
        <v>6.7064083457526083E-2</v>
      </c>
      <c r="D22" s="22">
        <f t="shared" si="12"/>
        <v>3.8391224862888484E-2</v>
      </c>
      <c r="E22" s="22">
        <f t="shared" si="12"/>
        <v>3.0674846625766868E-2</v>
      </c>
      <c r="F22" s="22">
        <f t="shared" si="12"/>
        <v>4.9180327868852451E-2</v>
      </c>
      <c r="G22" s="22">
        <f t="shared" si="12"/>
        <v>3.0674846625766874E-2</v>
      </c>
      <c r="H22" s="28">
        <f t="shared" si="12"/>
        <v>4.9180327868852465E-2</v>
      </c>
      <c r="I22" s="22">
        <f t="shared" si="12"/>
        <v>9.0909090909090912E-2</v>
      </c>
      <c r="J22" s="29">
        <f t="shared" si="2"/>
        <v>5.0867821174106313E-2</v>
      </c>
      <c r="P22" s="22">
        <f t="shared" ref="P22:V22" si="13">C11/C13</f>
        <v>6.7064083457526083E-2</v>
      </c>
      <c r="Q22" s="22">
        <f t="shared" si="13"/>
        <v>3.8391224862888484E-2</v>
      </c>
      <c r="R22" s="22">
        <f t="shared" si="13"/>
        <v>3.0674846625766868E-2</v>
      </c>
      <c r="S22" s="22">
        <f t="shared" si="13"/>
        <v>4.9180327868852451E-2</v>
      </c>
      <c r="T22" s="22">
        <f t="shared" si="13"/>
        <v>3.0674846625766874E-2</v>
      </c>
      <c r="U22" s="28">
        <f t="shared" si="13"/>
        <v>4.9180327868852465E-2</v>
      </c>
      <c r="V22" s="22">
        <f t="shared" si="13"/>
        <v>9.0909090909090912E-2</v>
      </c>
    </row>
    <row r="23" spans="2:22" x14ac:dyDescent="0.25">
      <c r="B23" s="25" t="s">
        <v>74</v>
      </c>
      <c r="C23" s="22">
        <f t="shared" ref="C23:I23" si="14">C12/C13</f>
        <v>5.216095380029806E-2</v>
      </c>
      <c r="D23" s="22">
        <f t="shared" si="14"/>
        <v>2.7422303473491772E-2</v>
      </c>
      <c r="E23" s="22">
        <f t="shared" si="14"/>
        <v>1.8404907975460124E-2</v>
      </c>
      <c r="F23" s="22">
        <f t="shared" si="14"/>
        <v>1.6393442622950817E-2</v>
      </c>
      <c r="G23" s="22">
        <f t="shared" si="14"/>
        <v>1.8404907975460127E-2</v>
      </c>
      <c r="H23" s="22">
        <f t="shared" si="14"/>
        <v>1.6393442622950821E-2</v>
      </c>
      <c r="I23" s="28">
        <f t="shared" si="14"/>
        <v>3.0303030303030304E-2</v>
      </c>
      <c r="J23" s="29">
        <f t="shared" si="2"/>
        <v>2.5640426967663145E-2</v>
      </c>
      <c r="P23" s="22">
        <f t="shared" ref="P23:V23" si="15">C12/C13</f>
        <v>5.216095380029806E-2</v>
      </c>
      <c r="Q23" s="22">
        <f t="shared" si="15"/>
        <v>2.7422303473491772E-2</v>
      </c>
      <c r="R23" s="22">
        <f t="shared" si="15"/>
        <v>1.8404907975460124E-2</v>
      </c>
      <c r="S23" s="22">
        <f t="shared" si="15"/>
        <v>1.6393442622950817E-2</v>
      </c>
      <c r="T23" s="22">
        <f t="shared" si="15"/>
        <v>1.8404907975460127E-2</v>
      </c>
      <c r="U23" s="22">
        <f t="shared" si="15"/>
        <v>1.6393442622950821E-2</v>
      </c>
      <c r="V23" s="28">
        <f t="shared" si="15"/>
        <v>3.0303030303030304E-2</v>
      </c>
    </row>
    <row r="25" spans="2:22" x14ac:dyDescent="0.25">
      <c r="B25" s="60" t="s">
        <v>79</v>
      </c>
      <c r="C25" s="60"/>
      <c r="D25" s="60"/>
      <c r="E25" s="60"/>
      <c r="F25" s="60"/>
      <c r="G25" s="60"/>
      <c r="H25" s="60"/>
      <c r="I25" s="60"/>
      <c r="J25" s="60"/>
      <c r="K25" s="60"/>
    </row>
    <row r="26" spans="2:22" ht="25.5" x14ac:dyDescent="0.25">
      <c r="B26" s="5" t="s">
        <v>80</v>
      </c>
      <c r="C26" s="30">
        <f>C6*J17+D6*J18+E6*J19+F6*J20+G6*J21+H6*J22+I6*J23</f>
        <v>3.1751360915929854</v>
      </c>
      <c r="D26" s="30">
        <f>C7*J17+D7*J18+E7*J19+F7*J20+G7*J21+H7*J22+I7*J23</f>
        <v>1.7326245142235042</v>
      </c>
      <c r="E26" s="30">
        <f>C8*J17+D8*J18+E8*J19+F8*J20+G8*J21+H8*J22+I8*J23</f>
        <v>0.81872939462792105</v>
      </c>
      <c r="F26" s="30">
        <f>C9*J17+D9*J18+E9*J19+F9*J20+G9*J21+H9*J22+I9*J23</f>
        <v>0.35932825470747642</v>
      </c>
      <c r="G26" s="30">
        <f>C10*J17+D10*J18+E10*J19+F10*J20+G10*J21+H10*J22+I10*J23</f>
        <v>0.81872939462792127</v>
      </c>
      <c r="H26" s="30">
        <f>C11*J17+D11*J18+E11*J19+F11*J20+G11*J21+H11*J22+I11*J23</f>
        <v>0.35932825470747648</v>
      </c>
      <c r="I26" s="30">
        <f>C12*J17+D12*J18+E12*J19+F12*J20+G12*J21+H12*J22+I12*J23</f>
        <v>0.18381315238568993</v>
      </c>
    </row>
    <row r="27" spans="2:22" ht="25.5" x14ac:dyDescent="0.25">
      <c r="B27" s="5" t="s">
        <v>81</v>
      </c>
      <c r="C27" s="20">
        <f>C26/J17</f>
        <v>7.5939061995489237</v>
      </c>
      <c r="D27" s="20">
        <f>D26/J18</f>
        <v>7.558922156279567</v>
      </c>
      <c r="E27" s="20">
        <f>E26/J19</f>
        <v>7.2681687030997084</v>
      </c>
      <c r="F27" s="20">
        <f>F26/J20</f>
        <v>7.0639600127081614</v>
      </c>
      <c r="G27" s="20">
        <f>G26/J21</f>
        <v>7.2681687030997093</v>
      </c>
      <c r="H27" s="20">
        <f>H26/J22</f>
        <v>7.0639600127081605</v>
      </c>
      <c r="I27" s="20">
        <f>I26/J23</f>
        <v>7.1688803239317727</v>
      </c>
    </row>
    <row r="28" spans="2:22" x14ac:dyDescent="0.25">
      <c r="B28" s="31" t="s">
        <v>82</v>
      </c>
      <c r="C28" s="62" t="s">
        <v>83</v>
      </c>
      <c r="D28" s="62"/>
      <c r="E28" s="62"/>
      <c r="F28" s="62"/>
      <c r="G28" s="62"/>
      <c r="H28" s="62"/>
      <c r="I28" s="62"/>
      <c r="J28" s="62"/>
      <c r="K28" s="62"/>
    </row>
    <row r="29" spans="2:22" x14ac:dyDescent="0.25">
      <c r="B29" s="31" t="s">
        <v>84</v>
      </c>
      <c r="C29" s="63">
        <f>AVERAGE(C27:I27)</f>
        <v>7.2837094444822856</v>
      </c>
      <c r="D29" s="63"/>
      <c r="E29" s="63"/>
      <c r="F29" s="63"/>
      <c r="G29" s="63"/>
      <c r="H29" s="63"/>
      <c r="I29" s="63"/>
      <c r="J29" s="63"/>
      <c r="K29" s="63"/>
    </row>
    <row r="30" spans="2:22" x14ac:dyDescent="0.25">
      <c r="B30" s="31" t="s">
        <v>85</v>
      </c>
      <c r="C30" s="63">
        <f>(C29-C28)/(C28-1)</f>
        <v>4.7284907413714272E-2</v>
      </c>
      <c r="D30" s="63"/>
      <c r="E30" s="63"/>
      <c r="F30" s="63"/>
      <c r="G30" s="63"/>
      <c r="H30" s="63"/>
      <c r="I30" s="63"/>
      <c r="J30" s="63"/>
      <c r="K30" s="63"/>
    </row>
    <row r="31" spans="2:22" x14ac:dyDescent="0.25">
      <c r="B31" s="31" t="s">
        <v>86</v>
      </c>
      <c r="C31" s="63">
        <v>1.32</v>
      </c>
      <c r="D31" s="63"/>
      <c r="E31" s="63"/>
      <c r="F31" s="63"/>
      <c r="G31" s="63"/>
      <c r="H31" s="63"/>
      <c r="I31" s="63"/>
      <c r="J31" s="63"/>
      <c r="K31" s="63"/>
    </row>
    <row r="32" spans="2:22" x14ac:dyDescent="0.25">
      <c r="B32" s="31" t="s">
        <v>87</v>
      </c>
      <c r="C32" s="63">
        <f>C30/C31</f>
        <v>3.5821899555844146E-2</v>
      </c>
      <c r="D32" s="63"/>
      <c r="E32" s="63"/>
      <c r="F32" s="63"/>
      <c r="G32" s="63"/>
      <c r="H32" s="63"/>
      <c r="I32" s="63"/>
      <c r="J32" s="63"/>
      <c r="K32" s="63"/>
    </row>
    <row r="33" spans="2:11" x14ac:dyDescent="0.25">
      <c r="B33" s="31" t="s">
        <v>88</v>
      </c>
      <c r="C33" s="61" t="str">
        <f>IF(C32&lt;0.1,"✔ KONSISTEN (CR &lt; 0.1)","✘ TIDAK KONSISTEN")</f>
        <v>✔ KONSISTEN (CR &lt; 0.1)</v>
      </c>
      <c r="D33" s="61"/>
      <c r="E33" s="61"/>
      <c r="F33" s="61"/>
      <c r="G33" s="61"/>
      <c r="H33" s="61"/>
      <c r="I33" s="61"/>
      <c r="J33" s="61"/>
      <c r="K33" s="61"/>
    </row>
  </sheetData>
  <mergeCells count="11">
    <mergeCell ref="B1:K1"/>
    <mergeCell ref="B2:K2"/>
    <mergeCell ref="B4:K4"/>
    <mergeCell ref="B15:K15"/>
    <mergeCell ref="B25:K25"/>
    <mergeCell ref="C33:K33"/>
    <mergeCell ref="C28:K28"/>
    <mergeCell ref="C29:K29"/>
    <mergeCell ref="C30:K30"/>
    <mergeCell ref="C31:K31"/>
    <mergeCell ref="C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zoomScaleNormal="100" workbookViewId="0"/>
  </sheetViews>
  <sheetFormatPr defaultColWidth="8.7109375" defaultRowHeight="15" x14ac:dyDescent="0.25"/>
  <cols>
    <col min="1" max="1" width="5" style="1" customWidth="1"/>
    <col min="2" max="2" width="20" style="1" customWidth="1"/>
    <col min="3" max="9" width="11" style="1" customWidth="1"/>
    <col min="10" max="10" width="16" style="1" customWidth="1"/>
    <col min="11" max="11" width="10" style="1" customWidth="1"/>
    <col min="12" max="12" width="12" style="1" customWidth="1"/>
  </cols>
  <sheetData>
    <row r="1" spans="2:13" ht="15" customHeight="1" x14ac:dyDescent="0.25">
      <c r="B1" s="59" t="s">
        <v>89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3" ht="15" customHeight="1" x14ac:dyDescent="0.25">
      <c r="B2" s="57" t="s">
        <v>90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4" spans="2:13" ht="15" customHeight="1" x14ac:dyDescent="0.25">
      <c r="B4" s="60" t="s">
        <v>91</v>
      </c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2:13" ht="39.75" customHeight="1" x14ac:dyDescent="0.25">
      <c r="B5" s="5" t="s">
        <v>92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93</v>
      </c>
      <c r="K5" s="5" t="s">
        <v>94</v>
      </c>
      <c r="L5" s="5" t="s">
        <v>27</v>
      </c>
    </row>
    <row r="6" spans="2:13" ht="21.75" customHeight="1" x14ac:dyDescent="0.25">
      <c r="B6" s="32" t="s">
        <v>78</v>
      </c>
      <c r="C6" s="29">
        <f>'TAHAP 2 – AHP'!J17</f>
        <v>0.41811631697288909</v>
      </c>
      <c r="D6" s="29">
        <f>'TAHAP 2 – AHP'!J18</f>
        <v>0.22921581654126813</v>
      </c>
      <c r="E6" s="29">
        <f>'TAHAP 2 – AHP'!J19</f>
        <v>0.11264589858498353</v>
      </c>
      <c r="F6" s="29">
        <f>'TAHAP 2 – AHP'!J20</f>
        <v>5.0867821174106299E-2</v>
      </c>
      <c r="G6" s="29">
        <f>'TAHAP 2 – AHP'!J21</f>
        <v>0.11264589858498356</v>
      </c>
      <c r="H6" s="29">
        <f>'TAHAP 2 – AHP'!J22</f>
        <v>5.0867821174106313E-2</v>
      </c>
      <c r="I6" s="29">
        <f>'TAHAP 2 – AHP'!J23</f>
        <v>2.5640426967663145E-2</v>
      </c>
    </row>
    <row r="7" spans="2:13" ht="15" customHeight="1" x14ac:dyDescent="0.25">
      <c r="B7" s="60" t="s">
        <v>95</v>
      </c>
      <c r="C7" s="60"/>
      <c r="D7" s="60"/>
      <c r="E7" s="60"/>
      <c r="F7" s="60"/>
      <c r="G7" s="60"/>
      <c r="H7" s="60"/>
      <c r="I7" s="60"/>
      <c r="J7" s="60"/>
      <c r="K7" s="60"/>
      <c r="L7" s="60"/>
    </row>
    <row r="8" spans="2:13" ht="39.75" customHeight="1" x14ac:dyDescent="0.25">
      <c r="B8" s="5" t="s">
        <v>16</v>
      </c>
      <c r="C8" s="5" t="s">
        <v>17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44</v>
      </c>
      <c r="J8" s="5" t="s">
        <v>45</v>
      </c>
      <c r="K8" s="5" t="s">
        <v>93</v>
      </c>
      <c r="L8" s="5" t="s">
        <v>94</v>
      </c>
      <c r="M8" s="5" t="s">
        <v>27</v>
      </c>
    </row>
    <row r="9" spans="2:13" ht="21.75" customHeight="1" x14ac:dyDescent="0.25">
      <c r="B9" s="6">
        <v>1</v>
      </c>
      <c r="C9" s="4" t="str">
        <f>'TAHAP 1 – K-MEANS'!C6</f>
        <v>Andi Setiawan</v>
      </c>
      <c r="D9" s="33">
        <f>'TAHAP 1 – K-MEANS'!D6</f>
        <v>8</v>
      </c>
      <c r="E9" s="33">
        <f>'TAHAP 1 – K-MEANS'!E6</f>
        <v>7</v>
      </c>
      <c r="F9" s="33">
        <f>'TAHAP 1 – K-MEANS'!F6</f>
        <v>9</v>
      </c>
      <c r="G9" s="33">
        <f>'TAHAP 1 – K-MEANS'!G6</f>
        <v>8</v>
      </c>
      <c r="H9" s="33">
        <f>'TAHAP 1 – K-MEANS'!H6</f>
        <v>9</v>
      </c>
      <c r="I9" s="33">
        <f>'TAHAP 1 – K-MEANS'!I6</f>
        <v>7</v>
      </c>
      <c r="J9" s="33">
        <f>'TAHAP 1 – K-MEANS'!J6</f>
        <v>8</v>
      </c>
      <c r="K9" s="29">
        <f>(D9^C6)*(E9^D6)*(F9^E6)*(G9^F6)*(H9^G6)*(I9^H6)*(J9^I6)</f>
        <v>7.9135551847656185</v>
      </c>
      <c r="L9" s="7">
        <f>RANK(K9,K9:K18,0)</f>
        <v>4</v>
      </c>
      <c r="M9" s="21" t="str">
        <f>'TAHAP 1 – K-MEANS'!M6</f>
        <v>K1</v>
      </c>
    </row>
    <row r="10" spans="2:13" ht="21.75" customHeight="1" x14ac:dyDescent="0.25">
      <c r="B10" s="10">
        <v>2</v>
      </c>
      <c r="C10" s="11" t="str">
        <f>'TAHAP 1 – K-MEANS'!C7</f>
        <v>Budi Santoso</v>
      </c>
      <c r="D10" s="34">
        <f>'TAHAP 1 – K-MEANS'!D7</f>
        <v>5</v>
      </c>
      <c r="E10" s="34">
        <f>'TAHAP 1 – K-MEANS'!E7</f>
        <v>6</v>
      </c>
      <c r="F10" s="34">
        <f>'TAHAP 1 – K-MEANS'!F7</f>
        <v>5</v>
      </c>
      <c r="G10" s="34">
        <f>'TAHAP 1 – K-MEANS'!G7</f>
        <v>6</v>
      </c>
      <c r="H10" s="34">
        <f>'TAHAP 1 – K-MEANS'!H7</f>
        <v>5</v>
      </c>
      <c r="I10" s="34">
        <f>'TAHAP 1 – K-MEANS'!I7</f>
        <v>6</v>
      </c>
      <c r="J10" s="34">
        <f>'TAHAP 1 – K-MEANS'!J7</f>
        <v>5</v>
      </c>
      <c r="K10" s="29">
        <f>(D10^C6)*(E10^D6)*(F10^E6)*(G10^F6)*(H10^G6)*(I10^H6)*(J10^I6)</f>
        <v>5.3109859588063157</v>
      </c>
      <c r="L10" s="12">
        <f>RANK(K10,K9:K18,0)</f>
        <v>8</v>
      </c>
      <c r="M10" s="23" t="str">
        <f>'TAHAP 1 – K-MEANS'!M7</f>
        <v>K3</v>
      </c>
    </row>
    <row r="11" spans="2:13" ht="21.75" customHeight="1" x14ac:dyDescent="0.25">
      <c r="B11" s="6">
        <v>3</v>
      </c>
      <c r="C11" s="4" t="str">
        <f>'TAHAP 1 – K-MEANS'!C8</f>
        <v>Citra Dewi</v>
      </c>
      <c r="D11" s="33">
        <f>'TAHAP 1 – K-MEANS'!D8</f>
        <v>9</v>
      </c>
      <c r="E11" s="33">
        <f>'TAHAP 1 – K-MEANS'!E8</f>
        <v>9</v>
      </c>
      <c r="F11" s="33">
        <f>'TAHAP 1 – K-MEANS'!F8</f>
        <v>8</v>
      </c>
      <c r="G11" s="33">
        <f>'TAHAP 1 – K-MEANS'!G8</f>
        <v>9</v>
      </c>
      <c r="H11" s="33">
        <f>'TAHAP 1 – K-MEANS'!H8</f>
        <v>9</v>
      </c>
      <c r="I11" s="33">
        <f>'TAHAP 1 – K-MEANS'!I8</f>
        <v>8</v>
      </c>
      <c r="J11" s="33">
        <f>'TAHAP 1 – K-MEANS'!J8</f>
        <v>9</v>
      </c>
      <c r="K11" s="29">
        <f>(D11^C6)*(E11^D6)*(F11^E6)*(G11^F6)*(H11^G6)*(I11^H6)*(J11^I6)</f>
        <v>8.8283261711137531</v>
      </c>
      <c r="L11" s="7">
        <f>RANK(K11,K9:K18,0)</f>
        <v>1</v>
      </c>
      <c r="M11" s="21" t="str">
        <f>'TAHAP 1 – K-MEANS'!M8</f>
        <v>K1</v>
      </c>
    </row>
    <row r="12" spans="2:13" ht="21.75" customHeight="1" x14ac:dyDescent="0.25">
      <c r="B12" s="10">
        <v>4</v>
      </c>
      <c r="C12" s="11" t="str">
        <f>'TAHAP 1 – K-MEANS'!C9</f>
        <v>Dian Pratiwi</v>
      </c>
      <c r="D12" s="34">
        <f>'TAHAP 1 – K-MEANS'!D9</f>
        <v>6</v>
      </c>
      <c r="E12" s="34">
        <f>'TAHAP 1 – K-MEANS'!E9</f>
        <v>5</v>
      </c>
      <c r="F12" s="34">
        <f>'TAHAP 1 – K-MEANS'!F9</f>
        <v>6</v>
      </c>
      <c r="G12" s="34">
        <f>'TAHAP 1 – K-MEANS'!G9</f>
        <v>5</v>
      </c>
      <c r="H12" s="34">
        <f>'TAHAP 1 – K-MEANS'!H9</f>
        <v>6</v>
      </c>
      <c r="I12" s="34">
        <f>'TAHAP 1 – K-MEANS'!I9</f>
        <v>5</v>
      </c>
      <c r="J12" s="34">
        <f>'TAHAP 1 – K-MEANS'!J9</f>
        <v>6</v>
      </c>
      <c r="K12" s="29">
        <f>(D12^C6)*(E12^D6)*(F12^E6)*(G12^F6)*(H12^G6)*(I12^H6)*(J12^I6)</f>
        <v>5.6486686714462202</v>
      </c>
      <c r="L12" s="12">
        <f>RANK(K12,K9:K18,0)</f>
        <v>7</v>
      </c>
      <c r="M12" s="23" t="str">
        <f>'TAHAP 1 – K-MEANS'!M9</f>
        <v>K2</v>
      </c>
    </row>
    <row r="13" spans="2:13" ht="21.75" customHeight="1" x14ac:dyDescent="0.25">
      <c r="B13" s="6">
        <v>5</v>
      </c>
      <c r="C13" s="4" t="str">
        <f>'TAHAP 1 – K-MEANS'!C10</f>
        <v>Eko Wahyudi</v>
      </c>
      <c r="D13" s="33">
        <f>'TAHAP 1 – K-MEANS'!D10</f>
        <v>7</v>
      </c>
      <c r="E13" s="33">
        <f>'TAHAP 1 – K-MEANS'!E10</f>
        <v>8</v>
      </c>
      <c r="F13" s="33">
        <f>'TAHAP 1 – K-MEANS'!F10</f>
        <v>7</v>
      </c>
      <c r="G13" s="33">
        <f>'TAHAP 1 – K-MEANS'!G10</f>
        <v>8</v>
      </c>
      <c r="H13" s="33">
        <f>'TAHAP 1 – K-MEANS'!H10</f>
        <v>7</v>
      </c>
      <c r="I13" s="33">
        <f>'TAHAP 1 – K-MEANS'!I10</f>
        <v>8</v>
      </c>
      <c r="J13" s="33">
        <f>'TAHAP 1 – K-MEANS'!J10</f>
        <v>7</v>
      </c>
      <c r="K13" s="29">
        <f>(D13^C6)*(E13^D6)*(F13^E6)*(G13^F6)*(H13^G6)*(I13^H6)*(J13^I6)</f>
        <v>7.3162840691386792</v>
      </c>
      <c r="L13" s="7">
        <f>RANK(K13,K9:K18,0)</f>
        <v>5</v>
      </c>
      <c r="M13" s="21" t="str">
        <f>'TAHAP 1 – K-MEANS'!M10</f>
        <v>K2</v>
      </c>
    </row>
    <row r="14" spans="2:13" ht="21.75" customHeight="1" x14ac:dyDescent="0.25">
      <c r="B14" s="10">
        <v>6</v>
      </c>
      <c r="C14" s="11" t="str">
        <f>'TAHAP 1 – K-MEANS'!C11</f>
        <v>Fitri Handayani</v>
      </c>
      <c r="D14" s="34">
        <f>'TAHAP 1 – K-MEANS'!D11</f>
        <v>4</v>
      </c>
      <c r="E14" s="34">
        <f>'TAHAP 1 – K-MEANS'!E11</f>
        <v>5</v>
      </c>
      <c r="F14" s="34">
        <f>'TAHAP 1 – K-MEANS'!F11</f>
        <v>4</v>
      </c>
      <c r="G14" s="34">
        <f>'TAHAP 1 – K-MEANS'!G11</f>
        <v>5</v>
      </c>
      <c r="H14" s="34">
        <f>'TAHAP 1 – K-MEANS'!H11</f>
        <v>4</v>
      </c>
      <c r="I14" s="34">
        <f>'TAHAP 1 – K-MEANS'!I11</f>
        <v>5</v>
      </c>
      <c r="J14" s="34">
        <f>'TAHAP 1 – K-MEANS'!J11</f>
        <v>4</v>
      </c>
      <c r="K14" s="29">
        <f>(D14^C6)*(E14^D6)*(F14^E6)*(G14^F6)*(H14^G6)*(I14^H6)*(J14^I6)</f>
        <v>4.3065798248266693</v>
      </c>
      <c r="L14" s="12">
        <f>RANK(K14,K9:K18,0)</f>
        <v>10</v>
      </c>
      <c r="M14" s="23" t="str">
        <f>'TAHAP 1 – K-MEANS'!M11</f>
        <v>K3</v>
      </c>
    </row>
    <row r="15" spans="2:13" ht="21.75" customHeight="1" x14ac:dyDescent="0.25">
      <c r="B15" s="6">
        <v>7</v>
      </c>
      <c r="C15" s="4" t="str">
        <f>'TAHAP 1 – K-MEANS'!C12</f>
        <v>Galih Nugroho</v>
      </c>
      <c r="D15" s="33">
        <f>'TAHAP 1 – K-MEANS'!D12</f>
        <v>9</v>
      </c>
      <c r="E15" s="33">
        <f>'TAHAP 1 – K-MEANS'!E12</f>
        <v>8</v>
      </c>
      <c r="F15" s="33">
        <f>'TAHAP 1 – K-MEANS'!F12</f>
        <v>9</v>
      </c>
      <c r="G15" s="33">
        <f>'TAHAP 1 – K-MEANS'!G12</f>
        <v>9</v>
      </c>
      <c r="H15" s="33">
        <f>'TAHAP 1 – K-MEANS'!H12</f>
        <v>8</v>
      </c>
      <c r="I15" s="33">
        <f>'TAHAP 1 – K-MEANS'!I12</f>
        <v>9</v>
      </c>
      <c r="J15" s="33">
        <f>'TAHAP 1 – K-MEANS'!J12</f>
        <v>8</v>
      </c>
      <c r="K15" s="29">
        <f>(D15^C6)*(E15^D6)*(F15^E6)*(G15^F6)*(H15^G6)*(I15^H6)*(J15^I6)</f>
        <v>8.6187413542836833</v>
      </c>
      <c r="L15" s="7">
        <f>RANK(K15,K9:K18,0)</f>
        <v>2</v>
      </c>
      <c r="M15" s="21" t="str">
        <f>'TAHAP 1 – K-MEANS'!M12</f>
        <v>K1</v>
      </c>
    </row>
    <row r="16" spans="2:13" ht="21.75" customHeight="1" x14ac:dyDescent="0.25">
      <c r="B16" s="10">
        <v>8</v>
      </c>
      <c r="C16" s="11" t="str">
        <f>'TAHAP 1 – K-MEANS'!C13</f>
        <v>Hana Putri</v>
      </c>
      <c r="D16" s="34">
        <f>'TAHAP 1 – K-MEANS'!D13</f>
        <v>6</v>
      </c>
      <c r="E16" s="34">
        <f>'TAHAP 1 – K-MEANS'!E13</f>
        <v>6</v>
      </c>
      <c r="F16" s="34">
        <f>'TAHAP 1 – K-MEANS'!F13</f>
        <v>7</v>
      </c>
      <c r="G16" s="34">
        <f>'TAHAP 1 – K-MEANS'!G13</f>
        <v>6</v>
      </c>
      <c r="H16" s="34">
        <f>'TAHAP 1 – K-MEANS'!H13</f>
        <v>7</v>
      </c>
      <c r="I16" s="34">
        <f>'TAHAP 1 – K-MEANS'!I13</f>
        <v>6</v>
      </c>
      <c r="J16" s="34">
        <f>'TAHAP 1 – K-MEANS'!J13</f>
        <v>7</v>
      </c>
      <c r="K16" s="29">
        <f>(D16^C6)*(E16^D6)*(F16^E6)*(G16^F6)*(H16^G6)*(I16^H6)*(J16^I6)</f>
        <v>6.2366354244847422</v>
      </c>
      <c r="L16" s="12">
        <f>RANK(K16,K9:K18,0)</f>
        <v>6</v>
      </c>
      <c r="M16" s="23" t="str">
        <f>'TAHAP 1 – K-MEANS'!M13</f>
        <v>K2</v>
      </c>
    </row>
    <row r="17" spans="2:13" ht="21.75" customHeight="1" x14ac:dyDescent="0.25">
      <c r="B17" s="6">
        <v>9</v>
      </c>
      <c r="C17" s="4" t="str">
        <f>'TAHAP 1 – K-MEANS'!C14</f>
        <v>Indra Kusuma</v>
      </c>
      <c r="D17" s="33">
        <f>'TAHAP 1 – K-MEANS'!D14</f>
        <v>8</v>
      </c>
      <c r="E17" s="33">
        <f>'TAHAP 1 – K-MEANS'!E14</f>
        <v>9</v>
      </c>
      <c r="F17" s="33">
        <f>'TAHAP 1 – K-MEANS'!F14</f>
        <v>8</v>
      </c>
      <c r="G17" s="33">
        <f>'TAHAP 1 – K-MEANS'!G14</f>
        <v>8</v>
      </c>
      <c r="H17" s="33">
        <f>'TAHAP 1 – K-MEANS'!H14</f>
        <v>9</v>
      </c>
      <c r="I17" s="33">
        <f>'TAHAP 1 – K-MEANS'!I14</f>
        <v>9</v>
      </c>
      <c r="J17" s="33">
        <f>'TAHAP 1 – K-MEANS'!J14</f>
        <v>8</v>
      </c>
      <c r="K17" s="29">
        <f>(D17^C6)*(E17^D6)*(F17^E6)*(G17^F6)*(H17^G6)*(I17^H6)*(J17^I6)</f>
        <v>8.3787473185254893</v>
      </c>
      <c r="L17" s="7">
        <f>RANK(K17,K9:K18,0)</f>
        <v>3</v>
      </c>
      <c r="M17" s="21" t="str">
        <f>'TAHAP 1 – K-MEANS'!M14</f>
        <v>K1</v>
      </c>
    </row>
    <row r="18" spans="2:13" ht="21.75" customHeight="1" x14ac:dyDescent="0.25">
      <c r="B18" s="10">
        <v>10</v>
      </c>
      <c r="C18" s="11" t="str">
        <f>'TAHAP 1 – K-MEANS'!C15</f>
        <v>Joko Purnomo</v>
      </c>
      <c r="D18" s="34">
        <f>'TAHAP 1 – K-MEANS'!D15</f>
        <v>5</v>
      </c>
      <c r="E18" s="34">
        <f>'TAHAP 1 – K-MEANS'!E15</f>
        <v>4</v>
      </c>
      <c r="F18" s="34">
        <f>'TAHAP 1 – K-MEANS'!F15</f>
        <v>5</v>
      </c>
      <c r="G18" s="34">
        <f>'TAHAP 1 – K-MEANS'!G15</f>
        <v>4</v>
      </c>
      <c r="H18" s="34">
        <f>'TAHAP 1 – K-MEANS'!H15</f>
        <v>5</v>
      </c>
      <c r="I18" s="34">
        <f>'TAHAP 1 – K-MEANS'!I15</f>
        <v>4</v>
      </c>
      <c r="J18" s="34">
        <f>'TAHAP 1 – K-MEANS'!J15</f>
        <v>5</v>
      </c>
      <c r="K18" s="29">
        <f>(D18^C6)*(E18^D6)*(F18^E6)*(G18^F6)*(H18^G6)*(I18^H6)*(J18^I6)</f>
        <v>4.6440564934390753</v>
      </c>
      <c r="L18" s="12">
        <f>RANK(K18,K9:K18,0)</f>
        <v>9</v>
      </c>
      <c r="M18" s="23" t="str">
        <f>'TAHAP 1 – K-MEANS'!M15</f>
        <v>K3</v>
      </c>
    </row>
    <row r="20" spans="2:13" ht="21.75" customHeight="1" x14ac:dyDescent="0.25">
      <c r="B20" s="64" t="s">
        <v>96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</row>
  </sheetData>
  <mergeCells count="5">
    <mergeCell ref="B1:L1"/>
    <mergeCell ref="B2:L2"/>
    <mergeCell ref="B4:L4"/>
    <mergeCell ref="B7:L7"/>
    <mergeCell ref="B20:L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showGridLines="0" zoomScaleNormal="100" workbookViewId="0"/>
  </sheetViews>
  <sheetFormatPr defaultColWidth="8.7109375" defaultRowHeight="15" x14ac:dyDescent="0.25"/>
  <cols>
    <col min="1" max="1" width="5" style="1" customWidth="1"/>
    <col min="2" max="2" width="20" style="1" customWidth="1"/>
    <col min="3" max="9" width="10" style="1" customWidth="1"/>
    <col min="10" max="11" width="12" style="1" customWidth="1"/>
    <col min="12" max="12" width="14" style="1" customWidth="1"/>
    <col min="13" max="13" width="10" style="1" customWidth="1"/>
    <col min="14" max="14" width="12" style="1" customWidth="1"/>
  </cols>
  <sheetData>
    <row r="1" spans="2:15" ht="15" customHeight="1" x14ac:dyDescent="0.25">
      <c r="B1" s="59" t="s">
        <v>97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2:15" ht="15" customHeight="1" x14ac:dyDescent="0.25">
      <c r="B2" s="57" t="s">
        <v>98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4" spans="2:15" ht="15" customHeight="1" x14ac:dyDescent="0.25">
      <c r="B4" s="60" t="s">
        <v>99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2:15" ht="39.75" customHeight="1" x14ac:dyDescent="0.25">
      <c r="B5" s="5" t="s">
        <v>16</v>
      </c>
      <c r="C5" s="5" t="s">
        <v>17</v>
      </c>
      <c r="D5" s="5" t="s">
        <v>100</v>
      </c>
      <c r="E5" s="5" t="s">
        <v>101</v>
      </c>
      <c r="F5" s="5" t="s">
        <v>102</v>
      </c>
      <c r="G5" s="5" t="s">
        <v>103</v>
      </c>
      <c r="H5" s="5" t="s">
        <v>104</v>
      </c>
      <c r="I5" s="5" t="s">
        <v>105</v>
      </c>
      <c r="J5" s="5" t="s">
        <v>106</v>
      </c>
      <c r="K5" s="5" t="s">
        <v>107</v>
      </c>
      <c r="L5" s="5" t="s">
        <v>108</v>
      </c>
      <c r="M5" s="5" t="s">
        <v>109</v>
      </c>
      <c r="N5" s="5" t="s">
        <v>110</v>
      </c>
      <c r="O5" s="5" t="s">
        <v>27</v>
      </c>
    </row>
    <row r="6" spans="2:15" ht="21.75" customHeight="1" x14ac:dyDescent="0.25">
      <c r="B6" s="6">
        <v>1</v>
      </c>
      <c r="C6" s="4" t="str">
        <f>'TAHAP 3 – WP'!C9</f>
        <v>Andi Setiawan</v>
      </c>
      <c r="D6" s="20">
        <f>'TAHAP 3 – WP'!D9/C16</f>
        <v>0.36629483719650408</v>
      </c>
      <c r="E6" s="20">
        <f>'TAHAP 3 – WP'!E9/D16</f>
        <v>0.32050798254694107</v>
      </c>
      <c r="F6" s="20">
        <f>'TAHAP 3 – WP'!F9/E16</f>
        <v>0.40657855630736306</v>
      </c>
      <c r="G6" s="20">
        <f>'TAHAP 3 – WP'!G9/F16</f>
        <v>0.36066785386697292</v>
      </c>
      <c r="H6" s="20">
        <f>'TAHAP 3 – WP'!H9/G16</f>
        <v>0.39970403251589481</v>
      </c>
      <c r="I6" s="20">
        <f>'TAHAP 3 – WP'!I9/H16</f>
        <v>0.32050798254694107</v>
      </c>
      <c r="J6" s="20">
        <f>'TAHAP 3 – WP'!J9/I16</f>
        <v>0.36784039189736228</v>
      </c>
      <c r="K6" s="35">
        <f>SQRT((D20-D30)^2+(E20-E30)^2+(F20-F30)^2+(G20-G30)^2+(H20-H30)^2+(I20-I30)^2+(J20-J30)^2)</f>
        <v>2.8903896126459227E-2</v>
      </c>
      <c r="L6" s="36">
        <f>SQRT((D20-D31)^2+(E20-E31)^2+(F20-F31)^2+(G20-G31)^2+(H20-H31)^2+(I20-I31)^2+(J20-J31)^2)</f>
        <v>9.1014558046647612E-2</v>
      </c>
      <c r="M6" s="29">
        <f t="shared" ref="M6:M15" si="0">L6/(K6+L6)</f>
        <v>0.75897040763437995</v>
      </c>
      <c r="N6" s="7">
        <f>RANK(M6,M6:M15,0)</f>
        <v>4</v>
      </c>
      <c r="O6" s="37" t="str">
        <f>'TAHAP 3 – WP'!M9</f>
        <v>K1</v>
      </c>
    </row>
    <row r="7" spans="2:15" ht="21.75" customHeight="1" x14ac:dyDescent="0.25">
      <c r="B7" s="10">
        <v>2</v>
      </c>
      <c r="C7" s="11" t="str">
        <f>'TAHAP 3 – WP'!C10</f>
        <v>Budi Santoso</v>
      </c>
      <c r="D7" s="22">
        <f>'TAHAP 3 – WP'!D10/C16</f>
        <v>0.22893427324781504</v>
      </c>
      <c r="E7" s="22">
        <f>'TAHAP 3 – WP'!E10/D16</f>
        <v>0.27472112789737807</v>
      </c>
      <c r="F7" s="22">
        <f>'TAHAP 3 – WP'!F10/E16</f>
        <v>0.22587697572631282</v>
      </c>
      <c r="G7" s="22">
        <f>'TAHAP 3 – WP'!G10/F16</f>
        <v>0.27050089040022968</v>
      </c>
      <c r="H7" s="22">
        <f>'TAHAP 3 – WP'!H10/G16</f>
        <v>0.22205779584216379</v>
      </c>
      <c r="I7" s="22">
        <f>'TAHAP 3 – WP'!I10/H16</f>
        <v>0.27472112789737807</v>
      </c>
      <c r="J7" s="22">
        <f>'TAHAP 3 – WP'!J10/I16</f>
        <v>0.22990024493585143</v>
      </c>
      <c r="K7" s="35">
        <f>SQRT((D21-D30)^2+(E21-E30)^2+(F21-F30)^2+(G21-G30)^2+(H21-H30)^2+(I21-I30)^2+(J21-J30)^2)</f>
        <v>8.8252591509920209E-2</v>
      </c>
      <c r="L7" s="36">
        <f>SQRT((D21-D31)^2+(E21-E31)^2+(F21-F31)^2+(G21-G31)^2+(H21-H31)^2+(I21-I31)^2+(J21-J31)^2)</f>
        <v>3.0035592088194722E-2</v>
      </c>
      <c r="M7" s="29">
        <f t="shared" si="0"/>
        <v>0.25391878693683295</v>
      </c>
      <c r="N7" s="7">
        <f>RANK(M7,M6:M15,0)</f>
        <v>8</v>
      </c>
      <c r="O7" s="37" t="str">
        <f>'TAHAP 3 – WP'!M10</f>
        <v>K3</v>
      </c>
    </row>
    <row r="8" spans="2:15" ht="21.75" customHeight="1" x14ac:dyDescent="0.25">
      <c r="B8" s="6">
        <v>3</v>
      </c>
      <c r="C8" s="4" t="str">
        <f>'TAHAP 3 – WP'!C11</f>
        <v>Citra Dewi</v>
      </c>
      <c r="D8" s="20">
        <f>'TAHAP 3 – WP'!D11/C16</f>
        <v>0.41208169184606708</v>
      </c>
      <c r="E8" s="20">
        <f>'TAHAP 3 – WP'!E11/D16</f>
        <v>0.41208169184606708</v>
      </c>
      <c r="F8" s="20">
        <f>'TAHAP 3 – WP'!F11/E16</f>
        <v>0.36140316116210053</v>
      </c>
      <c r="G8" s="20">
        <f>'TAHAP 3 – WP'!G11/F16</f>
        <v>0.40575133560034449</v>
      </c>
      <c r="H8" s="20">
        <f>'TAHAP 3 – WP'!H11/G16</f>
        <v>0.39970403251589481</v>
      </c>
      <c r="I8" s="20">
        <f>'TAHAP 3 – WP'!I11/H16</f>
        <v>0.36629483719650408</v>
      </c>
      <c r="J8" s="20">
        <f>'TAHAP 3 – WP'!J11/I16</f>
        <v>0.41382044088453257</v>
      </c>
      <c r="K8" s="35">
        <f>SQRT((D22-D30)^2+(E22-E30)^2+(F22-F30)^2+(G22-G30)^2+(H22-H30)^2+(I22-I30)^2+(J22-J30)^2)</f>
        <v>5.5964918908110476E-3</v>
      </c>
      <c r="L8" s="36">
        <f>SQRT((D22-D31)^2+(E22-E31)^2+(F22-F31)^2+(G22-G31)^2+(H22-H31)^2+(I22-I31)^2+(J22-J31)^2)</f>
        <v>0.11493153492383669</v>
      </c>
      <c r="M8" s="29">
        <f t="shared" si="0"/>
        <v>0.95356688366418274</v>
      </c>
      <c r="N8" s="7">
        <f>RANK(M8,M6:M15,0)</f>
        <v>1</v>
      </c>
      <c r="O8" s="37" t="str">
        <f>'TAHAP 3 – WP'!M11</f>
        <v>K1</v>
      </c>
    </row>
    <row r="9" spans="2:15" ht="21.75" customHeight="1" x14ac:dyDescent="0.25">
      <c r="B9" s="10">
        <v>4</v>
      </c>
      <c r="C9" s="11" t="str">
        <f>'TAHAP 3 – WP'!C12</f>
        <v>Dian Pratiwi</v>
      </c>
      <c r="D9" s="22">
        <f>'TAHAP 3 – WP'!D12/C16</f>
        <v>0.27472112789737807</v>
      </c>
      <c r="E9" s="22">
        <f>'TAHAP 3 – WP'!E12/D16</f>
        <v>0.22893427324781504</v>
      </c>
      <c r="F9" s="22">
        <f>'TAHAP 3 – WP'!F12/E16</f>
        <v>0.27105237087157541</v>
      </c>
      <c r="G9" s="22">
        <f>'TAHAP 3 – WP'!G12/F16</f>
        <v>0.22541740866685805</v>
      </c>
      <c r="H9" s="22">
        <f>'TAHAP 3 – WP'!H12/G16</f>
        <v>0.26646935501059654</v>
      </c>
      <c r="I9" s="22">
        <f>'TAHAP 3 – WP'!I12/H16</f>
        <v>0.22893427324781504</v>
      </c>
      <c r="J9" s="22">
        <f>'TAHAP 3 – WP'!J12/I16</f>
        <v>0.27588029392302171</v>
      </c>
      <c r="K9" s="35">
        <f>SQRT((D23-D30)^2+(E23-E30)^2+(F23-F30)^2+(G23-G30)^2+(H23-H30)^2+(I23-I30)^2+(J23-J30)^2)</f>
        <v>7.5515722237739863E-2</v>
      </c>
      <c r="L9" s="36">
        <f>SQRT((D23-D31)^2+(E23-E31)^2+(F23-F31)^2+(G23-G31)^2+(H23-H31)^2+(I23-I31)^2+(J23-J31)^2)</f>
        <v>4.2380326220693938E-2</v>
      </c>
      <c r="M9" s="29">
        <f t="shared" si="0"/>
        <v>0.35947198209646375</v>
      </c>
      <c r="N9" s="7">
        <f>RANK(M9,M6:M15,0)</f>
        <v>7</v>
      </c>
      <c r="O9" s="37" t="str">
        <f>'TAHAP 3 – WP'!M12</f>
        <v>K2</v>
      </c>
    </row>
    <row r="10" spans="2:15" ht="21.75" customHeight="1" x14ac:dyDescent="0.25">
      <c r="B10" s="6">
        <v>5</v>
      </c>
      <c r="C10" s="4" t="str">
        <f>'TAHAP 3 – WP'!C13</f>
        <v>Eko Wahyudi</v>
      </c>
      <c r="D10" s="20">
        <f>'TAHAP 3 – WP'!D13/C16</f>
        <v>0.32050798254694107</v>
      </c>
      <c r="E10" s="20">
        <f>'TAHAP 3 – WP'!E13/D16</f>
        <v>0.36629483719650408</v>
      </c>
      <c r="F10" s="20">
        <f>'TAHAP 3 – WP'!F13/E16</f>
        <v>0.31622776601683794</v>
      </c>
      <c r="G10" s="20">
        <f>'TAHAP 3 – WP'!G13/F16</f>
        <v>0.36066785386697292</v>
      </c>
      <c r="H10" s="20">
        <f>'TAHAP 3 – WP'!H13/G16</f>
        <v>0.3108809141790293</v>
      </c>
      <c r="I10" s="20">
        <f>'TAHAP 3 – WP'!I13/H16</f>
        <v>0.36629483719650408</v>
      </c>
      <c r="J10" s="20">
        <f>'TAHAP 3 – WP'!J13/I16</f>
        <v>0.321860342910192</v>
      </c>
      <c r="K10" s="35">
        <f>SQRT((D24-D30)^2+(E24-E30)^2+(F24-F30)^2+(G24-G30)^2+(H24-H30)^2+(I24-I30)^2+(J24-J30)^2)</f>
        <v>4.2380326220693938E-2</v>
      </c>
      <c r="L10" s="36">
        <f>SQRT((D24-D31)^2+(E24-E31)^2+(F24-F31)^2+(G24-G31)^2+(H24-H31)^2+(I24-I31)^2+(J24-J31)^2)</f>
        <v>7.5515722237739849E-2</v>
      </c>
      <c r="M10" s="29">
        <f t="shared" si="0"/>
        <v>0.6405280179035362</v>
      </c>
      <c r="N10" s="7">
        <f>RANK(M10,M6:M15,0)</f>
        <v>5</v>
      </c>
      <c r="O10" s="37" t="str">
        <f>'TAHAP 3 – WP'!M13</f>
        <v>K2</v>
      </c>
    </row>
    <row r="11" spans="2:15" ht="21.75" customHeight="1" x14ac:dyDescent="0.25">
      <c r="B11" s="10">
        <v>6</v>
      </c>
      <c r="C11" s="11" t="str">
        <f>'TAHAP 3 – WP'!C14</f>
        <v>Fitri Handayani</v>
      </c>
      <c r="D11" s="22">
        <f>'TAHAP 3 – WP'!D14/C16</f>
        <v>0.18314741859825204</v>
      </c>
      <c r="E11" s="22">
        <f>'TAHAP 3 – WP'!E14/D16</f>
        <v>0.22893427324781504</v>
      </c>
      <c r="F11" s="22">
        <f>'TAHAP 3 – WP'!F14/E16</f>
        <v>0.18070158058105026</v>
      </c>
      <c r="G11" s="22">
        <f>'TAHAP 3 – WP'!G14/F16</f>
        <v>0.22541740866685805</v>
      </c>
      <c r="H11" s="22">
        <f>'TAHAP 3 – WP'!H14/G16</f>
        <v>0.17764623667373103</v>
      </c>
      <c r="I11" s="22">
        <f>'TAHAP 3 – WP'!I14/H16</f>
        <v>0.22893427324781504</v>
      </c>
      <c r="J11" s="22">
        <f>'TAHAP 3 – WP'!J14/I16</f>
        <v>0.18392019594868114</v>
      </c>
      <c r="K11" s="35">
        <f>SQRT((D25-D30)^2+(E25-E30)^2+(F25-F30)^2+(G25-G30)^2+(H25-H30)^2+(I25-I30)^2+(J25-J30)^2)</f>
        <v>0.11137176995377042</v>
      </c>
      <c r="L11" s="36">
        <f>SQRT((D25-D31)^2+(E25-E31)^2+(F25-F31)^2+(G25-G31)^2+(H25-H31)^2+(I25-I31)^2+(J25-J31)^2)</f>
        <v>1.0992285530562671E-2</v>
      </c>
      <c r="M11" s="29">
        <f t="shared" si="0"/>
        <v>8.9832634976454107E-2</v>
      </c>
      <c r="N11" s="7">
        <f>RANK(M11,M6:M15,0)</f>
        <v>10</v>
      </c>
      <c r="O11" s="37" t="str">
        <f>'TAHAP 3 – WP'!M14</f>
        <v>K3</v>
      </c>
    </row>
    <row r="12" spans="2:15" ht="21.75" customHeight="1" x14ac:dyDescent="0.25">
      <c r="B12" s="6">
        <v>7</v>
      </c>
      <c r="C12" s="4" t="str">
        <f>'TAHAP 3 – WP'!C15</f>
        <v>Galih Nugroho</v>
      </c>
      <c r="D12" s="20">
        <f>'TAHAP 3 – WP'!D15/C16</f>
        <v>0.41208169184606708</v>
      </c>
      <c r="E12" s="20">
        <f>'TAHAP 3 – WP'!E15/D16</f>
        <v>0.36629483719650408</v>
      </c>
      <c r="F12" s="20">
        <f>'TAHAP 3 – WP'!F15/E16</f>
        <v>0.40657855630736306</v>
      </c>
      <c r="G12" s="20">
        <f>'TAHAP 3 – WP'!G15/F16</f>
        <v>0.40575133560034449</v>
      </c>
      <c r="H12" s="20">
        <f>'TAHAP 3 – WP'!H15/G16</f>
        <v>0.35529247334746206</v>
      </c>
      <c r="I12" s="20">
        <f>'TAHAP 3 – WP'!I15/H16</f>
        <v>0.41208169184606708</v>
      </c>
      <c r="J12" s="20">
        <f>'TAHAP 3 – WP'!J15/I16</f>
        <v>0.36784039189736228</v>
      </c>
      <c r="K12" s="35">
        <f>SQRT((D26-D30)^2+(E26-E30)^2+(F26-F30)^2+(G26-G30)^2+(H26-H30)^2+(I26-I30)^2+(J26-J30)^2)</f>
        <v>1.1686070652631152E-2</v>
      </c>
      <c r="L12" s="36">
        <f>SQRT((D26-D31)^2+(E26-E31)^2+(F26-F31)^2+(G26-G31)^2+(H26-H31)^2+(I26-I31)^2+(J26-J31)^2)</f>
        <v>0.11073421326590863</v>
      </c>
      <c r="M12" s="29">
        <f t="shared" si="0"/>
        <v>0.90454138580165988</v>
      </c>
      <c r="N12" s="7">
        <f>RANK(M12,M6:M15,0)</f>
        <v>2</v>
      </c>
      <c r="O12" s="37" t="str">
        <f>'TAHAP 3 – WP'!M15</f>
        <v>K1</v>
      </c>
    </row>
    <row r="13" spans="2:15" ht="21.75" customHeight="1" x14ac:dyDescent="0.25">
      <c r="B13" s="10">
        <v>8</v>
      </c>
      <c r="C13" s="11" t="str">
        <f>'TAHAP 3 – WP'!C16</f>
        <v>Hana Putri</v>
      </c>
      <c r="D13" s="22">
        <f>'TAHAP 3 – WP'!D16/C16</f>
        <v>0.27472112789737807</v>
      </c>
      <c r="E13" s="22">
        <f>'TAHAP 3 – WP'!E16/D16</f>
        <v>0.27472112789737807</v>
      </c>
      <c r="F13" s="22">
        <f>'TAHAP 3 – WP'!F16/E16</f>
        <v>0.31622776601683794</v>
      </c>
      <c r="G13" s="22">
        <f>'TAHAP 3 – WP'!G16/F16</f>
        <v>0.27050089040022968</v>
      </c>
      <c r="H13" s="22">
        <f>'TAHAP 3 – WP'!H16/G16</f>
        <v>0.3108809141790293</v>
      </c>
      <c r="I13" s="22">
        <f>'TAHAP 3 – WP'!I16/H16</f>
        <v>0.27472112789737807</v>
      </c>
      <c r="J13" s="22">
        <f>'TAHAP 3 – WP'!J16/I16</f>
        <v>0.321860342910192</v>
      </c>
      <c r="K13" s="35">
        <f>SQRT((D27-D30)^2+(E27-E30)^2+(F27-F30)^2+(G27-G30)^2+(H27-H30)^2+(I27-I30)^2+(J27-J30)^2)</f>
        <v>6.7788219397323699E-2</v>
      </c>
      <c r="L13" s="36">
        <f>SQRT((D27-D31)^2+(E27-E31)^2+(F27-F31)^2+(G27-G31)^2+(H27-H31)^2+(I27-I31)^2+(J27-J31)^2)</f>
        <v>4.9195043468407994E-2</v>
      </c>
      <c r="M13" s="29">
        <f t="shared" si="0"/>
        <v>0.42053061492114413</v>
      </c>
      <c r="N13" s="7">
        <f>RANK(M13,M6:M15,0)</f>
        <v>6</v>
      </c>
      <c r="O13" s="37" t="str">
        <f>'TAHAP 3 – WP'!M16</f>
        <v>K2</v>
      </c>
    </row>
    <row r="14" spans="2:15" ht="21.75" customHeight="1" x14ac:dyDescent="0.25">
      <c r="B14" s="6">
        <v>9</v>
      </c>
      <c r="C14" s="4" t="str">
        <f>'TAHAP 3 – WP'!C17</f>
        <v>Indra Kusuma</v>
      </c>
      <c r="D14" s="20">
        <f>'TAHAP 3 – WP'!D17/C16</f>
        <v>0.36629483719650408</v>
      </c>
      <c r="E14" s="20">
        <f>'TAHAP 3 – WP'!E17/D16</f>
        <v>0.41208169184606708</v>
      </c>
      <c r="F14" s="20">
        <f>'TAHAP 3 – WP'!F17/E16</f>
        <v>0.36140316116210053</v>
      </c>
      <c r="G14" s="20">
        <f>'TAHAP 3 – WP'!G17/F16</f>
        <v>0.36066785386697292</v>
      </c>
      <c r="H14" s="20">
        <f>'TAHAP 3 – WP'!H17/G16</f>
        <v>0.39970403251589481</v>
      </c>
      <c r="I14" s="20">
        <f>'TAHAP 3 – WP'!I17/H16</f>
        <v>0.41208169184606708</v>
      </c>
      <c r="J14" s="20">
        <f>'TAHAP 3 – WP'!J17/I16</f>
        <v>0.36784039189736228</v>
      </c>
      <c r="K14" s="35">
        <f>SQRT((D28-D30)^2+(E28-E30)^2+(F28-F30)^2+(G28-G30)^2+(H28-H30)^2+(I28-I30)^2+(J28-J30)^2)</f>
        <v>1.9976156729128756E-2</v>
      </c>
      <c r="L14" s="36">
        <f>SQRT((D28-D31)^2+(E28-E31)^2+(F28-F31)^2+(G28-G31)^2+(H28-H31)^2+(I28-I31)^2+(J28-J31)^2)</f>
        <v>9.9497350086843378E-2</v>
      </c>
      <c r="M14" s="29">
        <f t="shared" si="0"/>
        <v>0.83279843990937252</v>
      </c>
      <c r="N14" s="7">
        <f>RANK(M14,M6:M15,0)</f>
        <v>3</v>
      </c>
      <c r="O14" s="37" t="str">
        <f>'TAHAP 3 – WP'!M17</f>
        <v>K1</v>
      </c>
    </row>
    <row r="15" spans="2:15" ht="21.75" customHeight="1" x14ac:dyDescent="0.25">
      <c r="B15" s="10">
        <v>10</v>
      </c>
      <c r="C15" s="11" t="str">
        <f>'TAHAP 3 – WP'!C18</f>
        <v>Joko Purnomo</v>
      </c>
      <c r="D15" s="22">
        <f>'TAHAP 3 – WP'!D18/C16</f>
        <v>0.22893427324781504</v>
      </c>
      <c r="E15" s="22">
        <f>'TAHAP 3 – WP'!E18/D16</f>
        <v>0.18314741859825204</v>
      </c>
      <c r="F15" s="22">
        <f>'TAHAP 3 – WP'!F18/E16</f>
        <v>0.22587697572631282</v>
      </c>
      <c r="G15" s="22">
        <f>'TAHAP 3 – WP'!G18/F16</f>
        <v>0.18033392693348646</v>
      </c>
      <c r="H15" s="22">
        <f>'TAHAP 3 – WP'!H18/G16</f>
        <v>0.22205779584216379</v>
      </c>
      <c r="I15" s="22">
        <f>'TAHAP 3 – WP'!I18/H16</f>
        <v>0.18314741859825204</v>
      </c>
      <c r="J15" s="22">
        <f>'TAHAP 3 – WP'!J18/I16</f>
        <v>0.22990024493585143</v>
      </c>
      <c r="K15" s="35">
        <f>SQRT((D29-D30)^2+(E29-E30)^2+(F29-F30)^2+(G29-G30)^2+(H29-H30)^2+(I29-I30)^2+(J29-J30)^2)</f>
        <v>9.8599215854810532E-2</v>
      </c>
      <c r="L15" s="36">
        <f>SQRT((D29-D31)^2+(E29-E31)^2+(F29-F31)^2+(G29-G31)^2+(H29-H31)^2+(I29-I31)^2+(J29-J31)^2)</f>
        <v>2.046498051176094E-2</v>
      </c>
      <c r="M15" s="29">
        <f t="shared" si="0"/>
        <v>0.1718819018334776</v>
      </c>
      <c r="N15" s="7">
        <f>RANK(M15,M6:M15,0)</f>
        <v>9</v>
      </c>
      <c r="O15" s="37" t="str">
        <f>'TAHAP 3 – WP'!M18</f>
        <v>K3</v>
      </c>
    </row>
    <row r="16" spans="2:15" ht="15" customHeight="1" x14ac:dyDescent="0.25">
      <c r="B16" s="38" t="s">
        <v>111</v>
      </c>
      <c r="C16" s="30">
        <f>SQRT(SUMPRODUCT('TAHAP 3 – WP'!D9:D18,'TAHAP 3 – WP'!D9:D18))</f>
        <v>21.840329667841555</v>
      </c>
      <c r="D16" s="30">
        <f>SQRT(SUMPRODUCT('TAHAP 3 – WP'!E9:E18,'TAHAP 3 – WP'!E9:E18))</f>
        <v>21.840329667841555</v>
      </c>
      <c r="E16" s="30">
        <f>SQRT(SUMPRODUCT('TAHAP 3 – WP'!F9:F18,'TAHAP 3 – WP'!F9:F18))</f>
        <v>22.135943621178654</v>
      </c>
      <c r="F16" s="30">
        <f>SQRT(SUMPRODUCT('TAHAP 3 – WP'!G9:G18,'TAHAP 3 – WP'!G9:G18))</f>
        <v>22.181073012818835</v>
      </c>
      <c r="G16" s="30">
        <f>SQRT(SUMPRODUCT('TAHAP 3 – WP'!H9:H18,'TAHAP 3 – WP'!H9:H18))</f>
        <v>22.516660498395403</v>
      </c>
      <c r="H16" s="30">
        <f>SQRT(SUMPRODUCT('TAHAP 3 – WP'!I9:I18,'TAHAP 3 – WP'!I9:I18))</f>
        <v>21.840329667841555</v>
      </c>
      <c r="I16" s="30">
        <f>SQRT(SUMPRODUCT('TAHAP 3 – WP'!J9:J18,'TAHAP 3 – WP'!J9:J18))</f>
        <v>21.748563170931547</v>
      </c>
    </row>
    <row r="18" spans="2:14" ht="15" customHeight="1" x14ac:dyDescent="0.25">
      <c r="B18" s="60" t="s">
        <v>112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spans="2:14" ht="39.75" customHeight="1" x14ac:dyDescent="0.25">
      <c r="B19" s="5" t="s">
        <v>16</v>
      </c>
      <c r="C19" s="5" t="s">
        <v>17</v>
      </c>
      <c r="D19" s="5" t="s">
        <v>113</v>
      </c>
      <c r="E19" s="5" t="s">
        <v>114</v>
      </c>
      <c r="F19" s="5" t="s">
        <v>115</v>
      </c>
      <c r="G19" s="5" t="s">
        <v>116</v>
      </c>
      <c r="H19" s="5" t="s">
        <v>117</v>
      </c>
      <c r="I19" s="5" t="s">
        <v>118</v>
      </c>
      <c r="J19" s="5" t="s">
        <v>119</v>
      </c>
    </row>
    <row r="20" spans="2:14" ht="21.75" customHeight="1" x14ac:dyDescent="0.25">
      <c r="B20" s="6">
        <v>1</v>
      </c>
      <c r="C20" s="4" t="str">
        <f t="shared" ref="C20:C29" si="1">C6</f>
        <v>Andi Setiawan</v>
      </c>
      <c r="D20" s="20">
        <f>D6*'TAHAP 3 – WP'!C6</f>
        <v>0.15315384825478631</v>
      </c>
      <c r="E20" s="20">
        <f>E6*'TAHAP 3 – WP'!D6</f>
        <v>7.3465498927491615E-2</v>
      </c>
      <c r="F20" s="20">
        <f>F6*'TAHAP 3 – WP'!E6</f>
        <v>4.5799406820628233E-2</v>
      </c>
      <c r="G20" s="20">
        <f>G6*'TAHAP 3 – WP'!F6</f>
        <v>1.8346387893753882E-2</v>
      </c>
      <c r="H20" s="20">
        <f>H6*'TAHAP 3 – WP'!G6</f>
        <v>4.502501991079446E-2</v>
      </c>
      <c r="I20" s="20">
        <f>I6*'TAHAP 3 – WP'!H6</f>
        <v>1.6303542741071386E-2</v>
      </c>
      <c r="J20" s="20">
        <f>J6*'TAHAP 3 – WP'!I6</f>
        <v>9.4315847042009075E-3</v>
      </c>
    </row>
    <row r="21" spans="2:14" ht="21.75" customHeight="1" x14ac:dyDescent="0.25">
      <c r="B21" s="10">
        <v>2</v>
      </c>
      <c r="C21" s="11" t="str">
        <f t="shared" si="1"/>
        <v>Budi Santoso</v>
      </c>
      <c r="D21" s="22">
        <f>D7*'TAHAP 3 – WP'!C6</f>
        <v>9.5721155159241442E-2</v>
      </c>
      <c r="E21" s="22">
        <f>E7*'TAHAP 3 – WP'!D6</f>
        <v>6.2970427652135674E-2</v>
      </c>
      <c r="F21" s="22">
        <f>F7*'TAHAP 3 – WP'!E6</f>
        <v>2.5444114900349021E-2</v>
      </c>
      <c r="G21" s="22">
        <f>G7*'TAHAP 3 – WP'!F6</f>
        <v>1.375979092031541E-2</v>
      </c>
      <c r="H21" s="22">
        <f>H7*'TAHAP 3 – WP'!G6</f>
        <v>2.5013899950441364E-2</v>
      </c>
      <c r="I21" s="22">
        <f>I7*'TAHAP 3 – WP'!H6</f>
        <v>1.3974465206632617E-2</v>
      </c>
      <c r="J21" s="22">
        <f>J7*'TAHAP 3 – WP'!I6</f>
        <v>5.8947404401255669E-3</v>
      </c>
    </row>
    <row r="22" spans="2:14" ht="21.75" customHeight="1" x14ac:dyDescent="0.25">
      <c r="B22" s="6">
        <v>3</v>
      </c>
      <c r="C22" s="4" t="str">
        <f t="shared" si="1"/>
        <v>Citra Dewi</v>
      </c>
      <c r="D22" s="20">
        <f>D8*'TAHAP 3 – WP'!C6</f>
        <v>0.1722980792866346</v>
      </c>
      <c r="E22" s="20">
        <f>E8*'TAHAP 3 – WP'!D6</f>
        <v>9.4455641478203498E-2</v>
      </c>
      <c r="F22" s="20">
        <f>F8*'TAHAP 3 – WP'!E6</f>
        <v>4.0710583840558437E-2</v>
      </c>
      <c r="G22" s="20">
        <f>G8*'TAHAP 3 – WP'!F6</f>
        <v>2.0639686380473116E-2</v>
      </c>
      <c r="H22" s="20">
        <f>H8*'TAHAP 3 – WP'!G6</f>
        <v>4.502501991079446E-2</v>
      </c>
      <c r="I22" s="20">
        <f>I8*'TAHAP 3 – WP'!H6</f>
        <v>1.8632620275510155E-2</v>
      </c>
      <c r="J22" s="20">
        <f>J8*'TAHAP 3 – WP'!I6</f>
        <v>1.0610532792226022E-2</v>
      </c>
    </row>
    <row r="23" spans="2:14" ht="21.75" customHeight="1" x14ac:dyDescent="0.25">
      <c r="B23" s="10">
        <v>4</v>
      </c>
      <c r="C23" s="11" t="str">
        <f t="shared" si="1"/>
        <v>Dian Pratiwi</v>
      </c>
      <c r="D23" s="22">
        <f>D9*'TAHAP 3 – WP'!C6</f>
        <v>0.11486538619108973</v>
      </c>
      <c r="E23" s="22">
        <f>E9*'TAHAP 3 – WP'!D6</f>
        <v>5.2475356376779719E-2</v>
      </c>
      <c r="F23" s="22">
        <f>F9*'TAHAP 3 – WP'!E6</f>
        <v>3.0532937880418828E-2</v>
      </c>
      <c r="G23" s="22">
        <f>G9*'TAHAP 3 – WP'!F6</f>
        <v>1.1466492433596175E-2</v>
      </c>
      <c r="H23" s="22">
        <f>H9*'TAHAP 3 – WP'!G6</f>
        <v>3.0016679940529638E-2</v>
      </c>
      <c r="I23" s="22">
        <f>I9*'TAHAP 3 – WP'!H6</f>
        <v>1.1645387672193846E-2</v>
      </c>
      <c r="J23" s="22">
        <f>J9*'TAHAP 3 – WP'!I6</f>
        <v>7.073688528150681E-3</v>
      </c>
    </row>
    <row r="24" spans="2:14" ht="21.75" customHeight="1" x14ac:dyDescent="0.25">
      <c r="B24" s="6">
        <v>5</v>
      </c>
      <c r="C24" s="4" t="str">
        <f t="shared" si="1"/>
        <v>Eko Wahyudi</v>
      </c>
      <c r="D24" s="20">
        <f>D10*'TAHAP 3 – WP'!C6</f>
        <v>0.13400961722293803</v>
      </c>
      <c r="E24" s="20">
        <f>E10*'TAHAP 3 – WP'!D6</f>
        <v>8.3960570202847556E-2</v>
      </c>
      <c r="F24" s="20">
        <f>F10*'TAHAP 3 – WP'!E6</f>
        <v>3.5621760860488627E-2</v>
      </c>
      <c r="G24" s="20">
        <f>G10*'TAHAP 3 – WP'!F6</f>
        <v>1.8346387893753882E-2</v>
      </c>
      <c r="H24" s="20">
        <f>H10*'TAHAP 3 – WP'!G6</f>
        <v>3.5019459930617912E-2</v>
      </c>
      <c r="I24" s="20">
        <f>I10*'TAHAP 3 – WP'!H6</f>
        <v>1.8632620275510155E-2</v>
      </c>
      <c r="J24" s="20">
        <f>J10*'TAHAP 3 – WP'!I6</f>
        <v>8.2526366161757951E-3</v>
      </c>
    </row>
    <row r="25" spans="2:14" ht="21.75" customHeight="1" x14ac:dyDescent="0.25">
      <c r="B25" s="10">
        <v>6</v>
      </c>
      <c r="C25" s="11" t="str">
        <f t="shared" si="1"/>
        <v>Fitri Handayani</v>
      </c>
      <c r="D25" s="22">
        <f>D11*'TAHAP 3 – WP'!C6</f>
        <v>7.6576924127393156E-2</v>
      </c>
      <c r="E25" s="22">
        <f>E11*'TAHAP 3 – WP'!D6</f>
        <v>5.2475356376779719E-2</v>
      </c>
      <c r="F25" s="22">
        <f>F11*'TAHAP 3 – WP'!E6</f>
        <v>2.0355291920279218E-2</v>
      </c>
      <c r="G25" s="22">
        <f>G11*'TAHAP 3 – WP'!F6</f>
        <v>1.1466492433596175E-2</v>
      </c>
      <c r="H25" s="22">
        <f>H11*'TAHAP 3 – WP'!G6</f>
        <v>2.0011119960353093E-2</v>
      </c>
      <c r="I25" s="22">
        <f>I11*'TAHAP 3 – WP'!H6</f>
        <v>1.1645387672193846E-2</v>
      </c>
      <c r="J25" s="22">
        <f>J11*'TAHAP 3 – WP'!I6</f>
        <v>4.7157923521004537E-3</v>
      </c>
    </row>
    <row r="26" spans="2:14" ht="21.75" customHeight="1" x14ac:dyDescent="0.25">
      <c r="B26" s="6">
        <v>7</v>
      </c>
      <c r="C26" s="4" t="str">
        <f t="shared" si="1"/>
        <v>Galih Nugroho</v>
      </c>
      <c r="D26" s="20">
        <f>D12*'TAHAP 3 – WP'!C6</f>
        <v>0.1722980792866346</v>
      </c>
      <c r="E26" s="20">
        <f>E12*'TAHAP 3 – WP'!D6</f>
        <v>8.3960570202847556E-2</v>
      </c>
      <c r="F26" s="20">
        <f>F12*'TAHAP 3 – WP'!E6</f>
        <v>4.5799406820628233E-2</v>
      </c>
      <c r="G26" s="20">
        <f>G12*'TAHAP 3 – WP'!F6</f>
        <v>2.0639686380473116E-2</v>
      </c>
      <c r="H26" s="20">
        <f>H12*'TAHAP 3 – WP'!G6</f>
        <v>4.0022239920706186E-2</v>
      </c>
      <c r="I26" s="20">
        <f>I12*'TAHAP 3 – WP'!H6</f>
        <v>2.0961697809948925E-2</v>
      </c>
      <c r="J26" s="20">
        <f>J12*'TAHAP 3 – WP'!I6</f>
        <v>9.4315847042009075E-3</v>
      </c>
    </row>
    <row r="27" spans="2:14" ht="21.75" customHeight="1" x14ac:dyDescent="0.25">
      <c r="B27" s="10">
        <v>8</v>
      </c>
      <c r="C27" s="11" t="str">
        <f t="shared" si="1"/>
        <v>Hana Putri</v>
      </c>
      <c r="D27" s="22">
        <f>D13*'TAHAP 3 – WP'!C6</f>
        <v>0.11486538619108973</v>
      </c>
      <c r="E27" s="22">
        <f>E13*'TAHAP 3 – WP'!D6</f>
        <v>6.2970427652135674E-2</v>
      </c>
      <c r="F27" s="22">
        <f>F13*'TAHAP 3 – WP'!E6</f>
        <v>3.5621760860488627E-2</v>
      </c>
      <c r="G27" s="22">
        <f>G13*'TAHAP 3 – WP'!F6</f>
        <v>1.375979092031541E-2</v>
      </c>
      <c r="H27" s="22">
        <f>H13*'TAHAP 3 – WP'!G6</f>
        <v>3.5019459930617912E-2</v>
      </c>
      <c r="I27" s="22">
        <f>I13*'TAHAP 3 – WP'!H6</f>
        <v>1.3974465206632617E-2</v>
      </c>
      <c r="J27" s="22">
        <f>J13*'TAHAP 3 – WP'!I6</f>
        <v>8.2526366161757951E-3</v>
      </c>
    </row>
    <row r="28" spans="2:14" ht="21.75" customHeight="1" x14ac:dyDescent="0.25">
      <c r="B28" s="6">
        <v>9</v>
      </c>
      <c r="C28" s="4" t="str">
        <f t="shared" si="1"/>
        <v>Indra Kusuma</v>
      </c>
      <c r="D28" s="20">
        <f>D14*'TAHAP 3 – WP'!C6</f>
        <v>0.15315384825478631</v>
      </c>
      <c r="E28" s="20">
        <f>E14*'TAHAP 3 – WP'!D6</f>
        <v>9.4455641478203498E-2</v>
      </c>
      <c r="F28" s="20">
        <f>F14*'TAHAP 3 – WP'!E6</f>
        <v>4.0710583840558437E-2</v>
      </c>
      <c r="G28" s="20">
        <f>G14*'TAHAP 3 – WP'!F6</f>
        <v>1.8346387893753882E-2</v>
      </c>
      <c r="H28" s="20">
        <f>H14*'TAHAP 3 – WP'!G6</f>
        <v>4.502501991079446E-2</v>
      </c>
      <c r="I28" s="20">
        <f>I14*'TAHAP 3 – WP'!H6</f>
        <v>2.0961697809948925E-2</v>
      </c>
      <c r="J28" s="20">
        <f>J14*'TAHAP 3 – WP'!I6</f>
        <v>9.4315847042009075E-3</v>
      </c>
    </row>
    <row r="29" spans="2:14" ht="21.75" customHeight="1" x14ac:dyDescent="0.25">
      <c r="B29" s="10">
        <v>10</v>
      </c>
      <c r="C29" s="11" t="str">
        <f t="shared" si="1"/>
        <v>Joko Purnomo</v>
      </c>
      <c r="D29" s="22">
        <f>D15*'TAHAP 3 – WP'!C6</f>
        <v>9.5721155159241442E-2</v>
      </c>
      <c r="E29" s="22">
        <f>E15*'TAHAP 3 – WP'!D6</f>
        <v>4.1980285101423778E-2</v>
      </c>
      <c r="F29" s="22">
        <f>F15*'TAHAP 3 – WP'!E6</f>
        <v>2.5444114900349021E-2</v>
      </c>
      <c r="G29" s="22">
        <f>G15*'TAHAP 3 – WP'!F6</f>
        <v>9.1731939468769411E-3</v>
      </c>
      <c r="H29" s="22">
        <f>H15*'TAHAP 3 – WP'!G6</f>
        <v>2.5013899950441364E-2</v>
      </c>
      <c r="I29" s="22">
        <f>I15*'TAHAP 3 – WP'!H6</f>
        <v>9.3163101377550777E-3</v>
      </c>
      <c r="J29" s="22">
        <f>J15*'TAHAP 3 – WP'!I6</f>
        <v>5.8947404401255669E-3</v>
      </c>
    </row>
    <row r="30" spans="2:14" ht="21.75" customHeight="1" x14ac:dyDescent="0.25">
      <c r="B30" s="39" t="s">
        <v>120</v>
      </c>
      <c r="D30" s="36">
        <f t="shared" ref="D30:J30" si="2">MAX(D20:D29)</f>
        <v>0.1722980792866346</v>
      </c>
      <c r="E30" s="36">
        <f t="shared" si="2"/>
        <v>9.4455641478203498E-2</v>
      </c>
      <c r="F30" s="36">
        <f t="shared" si="2"/>
        <v>4.5799406820628233E-2</v>
      </c>
      <c r="G30" s="36">
        <f t="shared" si="2"/>
        <v>2.0639686380473116E-2</v>
      </c>
      <c r="H30" s="36">
        <f t="shared" si="2"/>
        <v>4.502501991079446E-2</v>
      </c>
      <c r="I30" s="36">
        <f t="shared" si="2"/>
        <v>2.0961697809948925E-2</v>
      </c>
      <c r="J30" s="36">
        <f t="shared" si="2"/>
        <v>1.0610532792226022E-2</v>
      </c>
    </row>
    <row r="31" spans="2:14" ht="21.75" customHeight="1" x14ac:dyDescent="0.25">
      <c r="B31" s="40" t="s">
        <v>121</v>
      </c>
      <c r="D31" s="35">
        <f t="shared" ref="D31:J31" si="3">MIN(D20:D29)</f>
        <v>7.6576924127393156E-2</v>
      </c>
      <c r="E31" s="35">
        <f t="shared" si="3"/>
        <v>4.1980285101423778E-2</v>
      </c>
      <c r="F31" s="35">
        <f t="shared" si="3"/>
        <v>2.0355291920279218E-2</v>
      </c>
      <c r="G31" s="35">
        <f t="shared" si="3"/>
        <v>9.1731939468769411E-3</v>
      </c>
      <c r="H31" s="35">
        <f t="shared" si="3"/>
        <v>2.0011119960353093E-2</v>
      </c>
      <c r="I31" s="35">
        <f t="shared" si="3"/>
        <v>9.3163101377550777E-3</v>
      </c>
      <c r="J31" s="35">
        <f t="shared" si="3"/>
        <v>4.7157923521004537E-3</v>
      </c>
    </row>
    <row r="33" spans="2:14" ht="15" customHeight="1" x14ac:dyDescent="0.25">
      <c r="B33" s="60" t="s">
        <v>122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</row>
    <row r="34" spans="2:14" ht="34.5" customHeight="1" x14ac:dyDescent="0.25">
      <c r="B34" s="5" t="s">
        <v>16</v>
      </c>
      <c r="C34" s="5" t="s">
        <v>17</v>
      </c>
      <c r="D34" s="5" t="s">
        <v>94</v>
      </c>
      <c r="E34" s="5" t="s">
        <v>123</v>
      </c>
      <c r="F34" s="5" t="s">
        <v>124</v>
      </c>
      <c r="G34" s="5" t="s">
        <v>125</v>
      </c>
    </row>
    <row r="35" spans="2:14" ht="21.75" customHeight="1" x14ac:dyDescent="0.25">
      <c r="B35" s="6">
        <v>1</v>
      </c>
      <c r="C35" s="4" t="str">
        <f>'TAHAP 3 – WP'!C9</f>
        <v>Andi Setiawan</v>
      </c>
      <c r="D35" s="33">
        <f>'TAHAP 3 – WP'!L9</f>
        <v>4</v>
      </c>
      <c r="E35" s="33">
        <f t="shared" ref="E35:E44" si="4">N6</f>
        <v>4</v>
      </c>
      <c r="F35" s="33">
        <f t="shared" ref="F35:F44" si="5">ABS(D35-E35)</f>
        <v>0</v>
      </c>
      <c r="G35" s="9" t="str">
        <f t="shared" ref="G35:G44" si="6">IF(F35&lt;=1,"✔ YA","✘ TIDAK")</f>
        <v>✔ YA</v>
      </c>
    </row>
    <row r="36" spans="2:14" ht="21.75" customHeight="1" x14ac:dyDescent="0.25">
      <c r="B36" s="10">
        <v>2</v>
      </c>
      <c r="C36" s="11" t="str">
        <f>'TAHAP 3 – WP'!C10</f>
        <v>Budi Santoso</v>
      </c>
      <c r="D36" s="34">
        <f>'TAHAP 3 – WP'!L10</f>
        <v>8</v>
      </c>
      <c r="E36" s="34">
        <f t="shared" si="4"/>
        <v>8</v>
      </c>
      <c r="F36" s="34">
        <f t="shared" si="5"/>
        <v>0</v>
      </c>
      <c r="G36" s="9" t="str">
        <f t="shared" si="6"/>
        <v>✔ YA</v>
      </c>
    </row>
    <row r="37" spans="2:14" ht="21.75" customHeight="1" x14ac:dyDescent="0.25">
      <c r="B37" s="6">
        <v>3</v>
      </c>
      <c r="C37" s="4" t="str">
        <f>'TAHAP 3 – WP'!C11</f>
        <v>Citra Dewi</v>
      </c>
      <c r="D37" s="33">
        <f>'TAHAP 3 – WP'!L11</f>
        <v>1</v>
      </c>
      <c r="E37" s="33">
        <f t="shared" si="4"/>
        <v>1</v>
      </c>
      <c r="F37" s="33">
        <f t="shared" si="5"/>
        <v>0</v>
      </c>
      <c r="G37" s="9" t="str">
        <f t="shared" si="6"/>
        <v>✔ YA</v>
      </c>
    </row>
    <row r="38" spans="2:14" ht="21.75" customHeight="1" x14ac:dyDescent="0.25">
      <c r="B38" s="10">
        <v>4</v>
      </c>
      <c r="C38" s="11" t="str">
        <f>'TAHAP 3 – WP'!C12</f>
        <v>Dian Pratiwi</v>
      </c>
      <c r="D38" s="34">
        <f>'TAHAP 3 – WP'!L12</f>
        <v>7</v>
      </c>
      <c r="E38" s="34">
        <f t="shared" si="4"/>
        <v>7</v>
      </c>
      <c r="F38" s="34">
        <f t="shared" si="5"/>
        <v>0</v>
      </c>
      <c r="G38" s="9" t="str">
        <f t="shared" si="6"/>
        <v>✔ YA</v>
      </c>
    </row>
    <row r="39" spans="2:14" ht="21.75" customHeight="1" x14ac:dyDescent="0.25">
      <c r="B39" s="6">
        <v>5</v>
      </c>
      <c r="C39" s="4" t="str">
        <f>'TAHAP 3 – WP'!C13</f>
        <v>Eko Wahyudi</v>
      </c>
      <c r="D39" s="33">
        <f>'TAHAP 3 – WP'!L13</f>
        <v>5</v>
      </c>
      <c r="E39" s="33">
        <f t="shared" si="4"/>
        <v>5</v>
      </c>
      <c r="F39" s="33">
        <f t="shared" si="5"/>
        <v>0</v>
      </c>
      <c r="G39" s="9" t="str">
        <f t="shared" si="6"/>
        <v>✔ YA</v>
      </c>
    </row>
    <row r="40" spans="2:14" ht="21.75" customHeight="1" x14ac:dyDescent="0.25">
      <c r="B40" s="10">
        <v>6</v>
      </c>
      <c r="C40" s="11" t="str">
        <f>'TAHAP 3 – WP'!C14</f>
        <v>Fitri Handayani</v>
      </c>
      <c r="D40" s="34">
        <f>'TAHAP 3 – WP'!L14</f>
        <v>10</v>
      </c>
      <c r="E40" s="34">
        <f t="shared" si="4"/>
        <v>10</v>
      </c>
      <c r="F40" s="34">
        <f t="shared" si="5"/>
        <v>0</v>
      </c>
      <c r="G40" s="9" t="str">
        <f t="shared" si="6"/>
        <v>✔ YA</v>
      </c>
    </row>
    <row r="41" spans="2:14" ht="21.75" customHeight="1" x14ac:dyDescent="0.25">
      <c r="B41" s="6">
        <v>7</v>
      </c>
      <c r="C41" s="4" t="str">
        <f>'TAHAP 3 – WP'!C15</f>
        <v>Galih Nugroho</v>
      </c>
      <c r="D41" s="33">
        <f>'TAHAP 3 – WP'!L15</f>
        <v>2</v>
      </c>
      <c r="E41" s="33">
        <f t="shared" si="4"/>
        <v>2</v>
      </c>
      <c r="F41" s="33">
        <f t="shared" si="5"/>
        <v>0</v>
      </c>
      <c r="G41" s="9" t="str">
        <f t="shared" si="6"/>
        <v>✔ YA</v>
      </c>
    </row>
    <row r="42" spans="2:14" ht="21.75" customHeight="1" x14ac:dyDescent="0.25">
      <c r="B42" s="10">
        <v>8</v>
      </c>
      <c r="C42" s="11" t="str">
        <f>'TAHAP 3 – WP'!C16</f>
        <v>Hana Putri</v>
      </c>
      <c r="D42" s="34">
        <f>'TAHAP 3 – WP'!L16</f>
        <v>6</v>
      </c>
      <c r="E42" s="34">
        <f t="shared" si="4"/>
        <v>6</v>
      </c>
      <c r="F42" s="34">
        <f t="shared" si="5"/>
        <v>0</v>
      </c>
      <c r="G42" s="9" t="str">
        <f t="shared" si="6"/>
        <v>✔ YA</v>
      </c>
    </row>
    <row r="43" spans="2:14" ht="21.75" customHeight="1" x14ac:dyDescent="0.25">
      <c r="B43" s="6">
        <v>9</v>
      </c>
      <c r="C43" s="4" t="str">
        <f>'TAHAP 3 – WP'!C17</f>
        <v>Indra Kusuma</v>
      </c>
      <c r="D43" s="33">
        <f>'TAHAP 3 – WP'!L17</f>
        <v>3</v>
      </c>
      <c r="E43" s="33">
        <f t="shared" si="4"/>
        <v>3</v>
      </c>
      <c r="F43" s="33">
        <f t="shared" si="5"/>
        <v>0</v>
      </c>
      <c r="G43" s="9" t="str">
        <f t="shared" si="6"/>
        <v>✔ YA</v>
      </c>
    </row>
    <row r="44" spans="2:14" ht="21.75" customHeight="1" x14ac:dyDescent="0.25">
      <c r="B44" s="10">
        <v>10</v>
      </c>
      <c r="C44" s="11" t="str">
        <f>'TAHAP 3 – WP'!C18</f>
        <v>Joko Purnomo</v>
      </c>
      <c r="D44" s="34">
        <f>'TAHAP 3 – WP'!L18</f>
        <v>9</v>
      </c>
      <c r="E44" s="34">
        <f t="shared" si="4"/>
        <v>9</v>
      </c>
      <c r="F44" s="34">
        <f t="shared" si="5"/>
        <v>0</v>
      </c>
      <c r="G44" s="9" t="str">
        <f t="shared" si="6"/>
        <v>✔ YA</v>
      </c>
    </row>
    <row r="46" spans="2:14" ht="21.75" customHeight="1" x14ac:dyDescent="0.25">
      <c r="B46" s="64" t="s">
        <v>126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</row>
    <row r="47" spans="2:14" ht="15" customHeight="1" x14ac:dyDescent="0.25">
      <c r="H47" s="41">
        <f>COUNTIF(G35:G44,"✔ YA")/10</f>
        <v>1</v>
      </c>
    </row>
  </sheetData>
  <mergeCells count="6">
    <mergeCell ref="B46:N46"/>
    <mergeCell ref="B1:N1"/>
    <mergeCell ref="B2:N2"/>
    <mergeCell ref="B4:N4"/>
    <mergeCell ref="B18:N18"/>
    <mergeCell ref="B33:N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showGridLines="0" zoomScaleNormal="100" workbookViewId="0">
      <selection activeCell="J10" sqref="J10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.7109375" style="1" customWidth="1"/>
    <col min="4" max="6" width="13" style="1" customWidth="1"/>
    <col min="7" max="7" width="12" style="1" customWidth="1"/>
    <col min="8" max="8" width="18" style="1" customWidth="1"/>
    <col min="9" max="9" width="20" style="1" customWidth="1"/>
    <col min="11" max="11" width="28" customWidth="1"/>
  </cols>
  <sheetData>
    <row r="1" spans="2:11" ht="15" customHeight="1" x14ac:dyDescent="0.25">
      <c r="B1" s="59" t="s">
        <v>127</v>
      </c>
      <c r="C1" s="59"/>
      <c r="D1" s="59"/>
      <c r="E1" s="59"/>
      <c r="F1" s="59"/>
      <c r="G1" s="59"/>
      <c r="H1" s="59"/>
      <c r="I1" s="59"/>
    </row>
    <row r="2" spans="2:11" ht="15" customHeight="1" x14ac:dyDescent="0.25">
      <c r="B2" s="70" t="s">
        <v>128</v>
      </c>
      <c r="C2" s="70"/>
      <c r="D2" s="70"/>
      <c r="E2" s="70"/>
      <c r="F2" s="70"/>
      <c r="G2" s="70"/>
      <c r="H2" s="70"/>
      <c r="I2" s="70"/>
    </row>
    <row r="4" spans="2:11" ht="15" customHeight="1" x14ac:dyDescent="0.25">
      <c r="B4" s="60" t="s">
        <v>129</v>
      </c>
      <c r="C4" s="60"/>
      <c r="D4" s="60"/>
      <c r="E4" s="60"/>
      <c r="F4" s="60"/>
      <c r="G4" s="60"/>
      <c r="H4" s="60"/>
      <c r="I4" s="60"/>
    </row>
    <row r="5" spans="2:11" ht="45" customHeight="1" x14ac:dyDescent="0.25">
      <c r="B5" s="5" t="s">
        <v>16</v>
      </c>
      <c r="C5" s="5" t="s">
        <v>17</v>
      </c>
      <c r="D5" s="5" t="s">
        <v>130</v>
      </c>
      <c r="E5" s="5" t="s">
        <v>94</v>
      </c>
      <c r="F5" s="5" t="s">
        <v>131</v>
      </c>
      <c r="G5" s="5" t="s">
        <v>123</v>
      </c>
      <c r="H5" s="5" t="s">
        <v>27</v>
      </c>
      <c r="I5" s="5" t="s">
        <v>132</v>
      </c>
      <c r="J5" s="5" t="s">
        <v>133</v>
      </c>
      <c r="K5" s="5" t="s">
        <v>134</v>
      </c>
    </row>
    <row r="6" spans="2:11" ht="25.5" x14ac:dyDescent="0.25">
      <c r="B6" s="6">
        <v>1</v>
      </c>
      <c r="C6" s="4" t="str">
        <f>'TAHAP 3 – WP'!C9</f>
        <v>Andi Setiawan</v>
      </c>
      <c r="D6" s="20">
        <f>'TAHAP 3 – WP'!K9</f>
        <v>7.9135551847656185</v>
      </c>
      <c r="E6" s="33">
        <f>'TAHAP 3 – WP'!L9</f>
        <v>4</v>
      </c>
      <c r="F6" s="20">
        <f>'TAHAP 4 – TOPSIS'!M6</f>
        <v>0.75897040763437995</v>
      </c>
      <c r="G6" s="33">
        <f>'TAHAP 4 – TOPSIS'!N6</f>
        <v>4</v>
      </c>
      <c r="H6" s="21" t="str">
        <f>'TAHAP 3 – WP'!M9</f>
        <v>K1</v>
      </c>
      <c r="I6" s="54">
        <f t="shared" ref="I6:I15" si="0">(D6+F6)/2</f>
        <v>4.3362627961999989</v>
      </c>
      <c r="J6" s="42">
        <f>RANK(I6,I6:I15,0)</f>
        <v>4</v>
      </c>
      <c r="K6" s="43" t="str">
        <f t="shared" ref="K6:K15" si="1">IF(H6="K1","Promosi / Pengembangan Lanjut",IF(H6="K2","Pertahankan &amp; Tingkatkan","Perlu Pembinaan Intensif"))</f>
        <v>Promosi / Pengembangan Lanjut</v>
      </c>
    </row>
    <row r="7" spans="2:11" x14ac:dyDescent="0.25">
      <c r="B7" s="10">
        <v>2</v>
      </c>
      <c r="C7" s="11" t="str">
        <f>'TAHAP 3 – WP'!C10</f>
        <v>Budi Santoso</v>
      </c>
      <c r="D7" s="22">
        <f>'TAHAP 3 – WP'!K10</f>
        <v>5.3109859588063157</v>
      </c>
      <c r="E7" s="34">
        <f>'TAHAP 3 – WP'!L10</f>
        <v>8</v>
      </c>
      <c r="F7" s="22">
        <f>'TAHAP 4 – TOPSIS'!M7</f>
        <v>0.25391878693683295</v>
      </c>
      <c r="G7" s="34">
        <f>'TAHAP 4 – TOPSIS'!N7</f>
        <v>8</v>
      </c>
      <c r="H7" s="23" t="str">
        <f>'TAHAP 3 – WP'!M10</f>
        <v>K3</v>
      </c>
      <c r="I7" s="54">
        <f t="shared" si="0"/>
        <v>2.7824523728715742</v>
      </c>
      <c r="J7" s="42">
        <f>RANK(I7,I6:I15,0)</f>
        <v>8</v>
      </c>
      <c r="K7" s="44" t="str">
        <f t="shared" si="1"/>
        <v>Perlu Pembinaan Intensif</v>
      </c>
    </row>
    <row r="8" spans="2:11" ht="25.5" x14ac:dyDescent="0.25">
      <c r="B8" s="6">
        <v>3</v>
      </c>
      <c r="C8" s="4" t="str">
        <f>'TAHAP 3 – WP'!C11</f>
        <v>Citra Dewi</v>
      </c>
      <c r="D8" s="20">
        <f>'TAHAP 3 – WP'!K11</f>
        <v>8.8283261711137531</v>
      </c>
      <c r="E8" s="33">
        <f>'TAHAP 3 – WP'!L11</f>
        <v>1</v>
      </c>
      <c r="F8" s="20">
        <f>'TAHAP 4 – TOPSIS'!M8</f>
        <v>0.95356688366418274</v>
      </c>
      <c r="G8" s="33">
        <f>'TAHAP 4 – TOPSIS'!N8</f>
        <v>1</v>
      </c>
      <c r="H8" s="21" t="str">
        <f>'TAHAP 3 – WP'!M11</f>
        <v>K1</v>
      </c>
      <c r="I8" s="54">
        <f t="shared" si="0"/>
        <v>4.8909465273889676</v>
      </c>
      <c r="J8" s="42">
        <f>RANK(I8,I6:I15,0)</f>
        <v>1</v>
      </c>
      <c r="K8" s="43" t="str">
        <f t="shared" si="1"/>
        <v>Promosi / Pengembangan Lanjut</v>
      </c>
    </row>
    <row r="9" spans="2:11" x14ac:dyDescent="0.25">
      <c r="B9" s="10">
        <v>4</v>
      </c>
      <c r="C9" s="11" t="str">
        <f>'TAHAP 3 – WP'!C12</f>
        <v>Dian Pratiwi</v>
      </c>
      <c r="D9" s="22">
        <f>'TAHAP 3 – WP'!K12</f>
        <v>5.6486686714462202</v>
      </c>
      <c r="E9" s="34">
        <f>'TAHAP 3 – WP'!L12</f>
        <v>7</v>
      </c>
      <c r="F9" s="22">
        <f>'TAHAP 4 – TOPSIS'!M9</f>
        <v>0.35947198209646375</v>
      </c>
      <c r="G9" s="34">
        <f>'TAHAP 4 – TOPSIS'!N9</f>
        <v>7</v>
      </c>
      <c r="H9" s="23" t="str">
        <f>'TAHAP 3 – WP'!M12</f>
        <v>K2</v>
      </c>
      <c r="I9" s="54">
        <f t="shared" si="0"/>
        <v>3.004070326771342</v>
      </c>
      <c r="J9" s="42">
        <f>RANK(I9,I6:I15,0)</f>
        <v>7</v>
      </c>
      <c r="K9" s="44" t="str">
        <f t="shared" si="1"/>
        <v>Pertahankan &amp; Tingkatkan</v>
      </c>
    </row>
    <row r="10" spans="2:11" x14ac:dyDescent="0.25">
      <c r="B10" s="6">
        <v>5</v>
      </c>
      <c r="C10" s="4" t="str">
        <f>'TAHAP 3 – WP'!C13</f>
        <v>Eko Wahyudi</v>
      </c>
      <c r="D10" s="20">
        <f>'TAHAP 3 – WP'!K13</f>
        <v>7.3162840691386792</v>
      </c>
      <c r="E10" s="33">
        <f>'TAHAP 3 – WP'!L13</f>
        <v>5</v>
      </c>
      <c r="F10" s="20">
        <f>'TAHAP 4 – TOPSIS'!M10</f>
        <v>0.6405280179035362</v>
      </c>
      <c r="G10" s="33">
        <f>'TAHAP 4 – TOPSIS'!N10</f>
        <v>5</v>
      </c>
      <c r="H10" s="21" t="str">
        <f>'TAHAP 3 – WP'!M13</f>
        <v>K2</v>
      </c>
      <c r="I10" s="54">
        <f t="shared" si="0"/>
        <v>3.9784060435211077</v>
      </c>
      <c r="J10" s="42">
        <f>RANK(I10,I6:I15,0)</f>
        <v>5</v>
      </c>
      <c r="K10" s="43" t="str">
        <f t="shared" si="1"/>
        <v>Pertahankan &amp; Tingkatkan</v>
      </c>
    </row>
    <row r="11" spans="2:11" x14ac:dyDescent="0.25">
      <c r="B11" s="10">
        <v>6</v>
      </c>
      <c r="C11" s="11" t="str">
        <f>'TAHAP 3 – WP'!C14</f>
        <v>Fitri Handayani</v>
      </c>
      <c r="D11" s="22">
        <f>'TAHAP 3 – WP'!K14</f>
        <v>4.3065798248266693</v>
      </c>
      <c r="E11" s="34">
        <f>'TAHAP 3 – WP'!L14</f>
        <v>10</v>
      </c>
      <c r="F11" s="22">
        <f>'TAHAP 4 – TOPSIS'!M11</f>
        <v>8.9832634976454107E-2</v>
      </c>
      <c r="G11" s="34">
        <f>'TAHAP 4 – TOPSIS'!N11</f>
        <v>10</v>
      </c>
      <c r="H11" s="23" t="str">
        <f>'TAHAP 3 – WP'!M14</f>
        <v>K3</v>
      </c>
      <c r="I11" s="54">
        <f t="shared" si="0"/>
        <v>2.1982062299015617</v>
      </c>
      <c r="J11" s="42">
        <f>RANK(I11,I6:I15,0)</f>
        <v>10</v>
      </c>
      <c r="K11" s="44" t="str">
        <f t="shared" si="1"/>
        <v>Perlu Pembinaan Intensif</v>
      </c>
    </row>
    <row r="12" spans="2:11" ht="25.5" x14ac:dyDescent="0.25">
      <c r="B12" s="6">
        <v>7</v>
      </c>
      <c r="C12" s="4" t="str">
        <f>'TAHAP 3 – WP'!C15</f>
        <v>Galih Nugroho</v>
      </c>
      <c r="D12" s="20">
        <f>'TAHAP 3 – WP'!K15</f>
        <v>8.6187413542836833</v>
      </c>
      <c r="E12" s="33">
        <f>'TAHAP 3 – WP'!L15</f>
        <v>2</v>
      </c>
      <c r="F12" s="20">
        <f>'TAHAP 4 – TOPSIS'!M12</f>
        <v>0.90454138580165988</v>
      </c>
      <c r="G12" s="33">
        <f>'TAHAP 4 – TOPSIS'!N12</f>
        <v>2</v>
      </c>
      <c r="H12" s="21" t="str">
        <f>'TAHAP 3 – WP'!M15</f>
        <v>K1</v>
      </c>
      <c r="I12" s="54">
        <f t="shared" si="0"/>
        <v>4.7616413700426712</v>
      </c>
      <c r="J12" s="42">
        <f>RANK(I12,I6:I15,0)</f>
        <v>2</v>
      </c>
      <c r="K12" s="43" t="str">
        <f t="shared" si="1"/>
        <v>Promosi / Pengembangan Lanjut</v>
      </c>
    </row>
    <row r="13" spans="2:11" x14ac:dyDescent="0.25">
      <c r="B13" s="10">
        <v>8</v>
      </c>
      <c r="C13" s="11" t="str">
        <f>'TAHAP 3 – WP'!C16</f>
        <v>Hana Putri</v>
      </c>
      <c r="D13" s="22">
        <f>'TAHAP 3 – WP'!K16</f>
        <v>6.2366354244847422</v>
      </c>
      <c r="E13" s="34">
        <f>'TAHAP 3 – WP'!L16</f>
        <v>6</v>
      </c>
      <c r="F13" s="22">
        <f>'TAHAP 4 – TOPSIS'!M13</f>
        <v>0.42053061492114413</v>
      </c>
      <c r="G13" s="34">
        <f>'TAHAP 4 – TOPSIS'!N13</f>
        <v>6</v>
      </c>
      <c r="H13" s="23" t="str">
        <f>'TAHAP 3 – WP'!M16</f>
        <v>K2</v>
      </c>
      <c r="I13" s="54">
        <f t="shared" si="0"/>
        <v>3.3285830197029433</v>
      </c>
      <c r="J13" s="42">
        <f>RANK(I13,I6:I15,0)</f>
        <v>6</v>
      </c>
      <c r="K13" s="44" t="str">
        <f t="shared" si="1"/>
        <v>Pertahankan &amp; Tingkatkan</v>
      </c>
    </row>
    <row r="14" spans="2:11" ht="25.5" x14ac:dyDescent="0.25">
      <c r="B14" s="6">
        <v>9</v>
      </c>
      <c r="C14" s="4" t="str">
        <f>'TAHAP 3 – WP'!C17</f>
        <v>Indra Kusuma</v>
      </c>
      <c r="D14" s="20">
        <f>'TAHAP 3 – WP'!K17</f>
        <v>8.3787473185254893</v>
      </c>
      <c r="E14" s="33">
        <f>'TAHAP 3 – WP'!L17</f>
        <v>3</v>
      </c>
      <c r="F14" s="20">
        <f>'TAHAP 4 – TOPSIS'!M14</f>
        <v>0.83279843990937252</v>
      </c>
      <c r="G14" s="33">
        <f>'TAHAP 4 – TOPSIS'!N14</f>
        <v>3</v>
      </c>
      <c r="H14" s="21" t="str">
        <f>'TAHAP 3 – WP'!M17</f>
        <v>K1</v>
      </c>
      <c r="I14" s="54">
        <f t="shared" si="0"/>
        <v>4.6057728792174313</v>
      </c>
      <c r="J14" s="42">
        <f>RANK(I14,I6:I15,0)</f>
        <v>3</v>
      </c>
      <c r="K14" s="43" t="str">
        <f t="shared" si="1"/>
        <v>Promosi / Pengembangan Lanjut</v>
      </c>
    </row>
    <row r="15" spans="2:11" x14ac:dyDescent="0.25">
      <c r="B15" s="10">
        <v>10</v>
      </c>
      <c r="C15" s="11" t="str">
        <f>'TAHAP 3 – WP'!C18</f>
        <v>Joko Purnomo</v>
      </c>
      <c r="D15" s="22">
        <f>'TAHAP 3 – WP'!K18</f>
        <v>4.6440564934390753</v>
      </c>
      <c r="E15" s="34">
        <f>'TAHAP 3 – WP'!L18</f>
        <v>9</v>
      </c>
      <c r="F15" s="22">
        <f>'TAHAP 4 – TOPSIS'!M15</f>
        <v>0.1718819018334776</v>
      </c>
      <c r="G15" s="34">
        <f>'TAHAP 4 – TOPSIS'!N15</f>
        <v>9</v>
      </c>
      <c r="H15" s="23" t="str">
        <f>'TAHAP 3 – WP'!M18</f>
        <v>K3</v>
      </c>
      <c r="I15" s="54">
        <f t="shared" si="0"/>
        <v>2.4079691976362763</v>
      </c>
      <c r="J15" s="42">
        <f>RANK(I15,I6:I15,0)</f>
        <v>9</v>
      </c>
      <c r="K15" s="44" t="str">
        <f t="shared" si="1"/>
        <v>Perlu Pembinaan Intensif</v>
      </c>
    </row>
    <row r="17" spans="2:10" ht="15" customHeight="1" x14ac:dyDescent="0.25">
      <c r="B17" s="60" t="s">
        <v>135</v>
      </c>
      <c r="C17" s="60"/>
      <c r="D17" s="60"/>
      <c r="E17" s="60"/>
      <c r="F17" s="60"/>
      <c r="G17" s="60"/>
      <c r="H17" s="60"/>
      <c r="I17" s="60"/>
    </row>
    <row r="18" spans="2:10" ht="34.5" customHeight="1" x14ac:dyDescent="0.25">
      <c r="B18" s="5" t="s">
        <v>27</v>
      </c>
      <c r="C18" s="5" t="s">
        <v>136</v>
      </c>
      <c r="D18" s="5" t="s">
        <v>137</v>
      </c>
      <c r="E18" s="5" t="s">
        <v>138</v>
      </c>
      <c r="F18" s="71" t="s">
        <v>139</v>
      </c>
      <c r="G18" s="71"/>
      <c r="H18" s="71"/>
      <c r="I18" s="71"/>
      <c r="J18" s="71"/>
    </row>
    <row r="19" spans="2:10" ht="30" customHeight="1" x14ac:dyDescent="0.25">
      <c r="B19" s="39" t="s">
        <v>140</v>
      </c>
      <c r="C19" s="45">
        <f>COUNTIF(H6:H15,"K1")</f>
        <v>4</v>
      </c>
      <c r="D19" s="28">
        <f>AVERAGEIF(H6:H15,"K1",D6:D15)</f>
        <v>8.4348425071721369</v>
      </c>
      <c r="E19" s="28">
        <f>AVERAGEIF(H6:H15,"K1",F6:F15)</f>
        <v>0.8624692792523988</v>
      </c>
      <c r="F19" s="66" t="s">
        <v>141</v>
      </c>
      <c r="G19" s="66"/>
      <c r="H19" s="66"/>
      <c r="I19" s="66"/>
    </row>
    <row r="20" spans="2:10" ht="30" customHeight="1" x14ac:dyDescent="0.25">
      <c r="B20" s="46" t="s">
        <v>142</v>
      </c>
      <c r="C20" s="47">
        <f>COUNTIF(H6:H15,"K2")</f>
        <v>3</v>
      </c>
      <c r="D20" s="48">
        <f>AVERAGEIF(H6:H15,"K2",D6:D15)</f>
        <v>6.4005293883565466</v>
      </c>
      <c r="E20" s="48">
        <f>AVERAGEIF(H6:H15,"K2",F6:F15)</f>
        <v>0.47351020497371471</v>
      </c>
      <c r="F20" s="67" t="s">
        <v>143</v>
      </c>
      <c r="G20" s="67"/>
      <c r="H20" s="67"/>
      <c r="I20" s="67"/>
    </row>
    <row r="21" spans="2:10" ht="30" customHeight="1" x14ac:dyDescent="0.25">
      <c r="B21" s="40" t="s">
        <v>144</v>
      </c>
      <c r="C21" s="49">
        <f>COUNTIF(H6:H15,"K3")</f>
        <v>3</v>
      </c>
      <c r="D21" s="50">
        <f>AVERAGEIF(H6:H15,"K3",D6:D15)</f>
        <v>4.7538740923573535</v>
      </c>
      <c r="E21" s="50">
        <f>AVERAGEIF(H6:H15,"K3",F6:F15)</f>
        <v>0.17187777458225487</v>
      </c>
      <c r="F21" s="68" t="s">
        <v>145</v>
      </c>
      <c r="G21" s="68"/>
      <c r="H21" s="68"/>
      <c r="I21" s="68"/>
    </row>
    <row r="23" spans="2:10" ht="15" customHeight="1" x14ac:dyDescent="0.25">
      <c r="B23" s="60" t="s">
        <v>146</v>
      </c>
      <c r="C23" s="60"/>
      <c r="D23" s="60"/>
      <c r="E23" s="60"/>
      <c r="F23" s="60"/>
      <c r="G23" s="60"/>
      <c r="H23" s="60"/>
      <c r="I23" s="60"/>
    </row>
    <row r="24" spans="2:10" ht="27.75" customHeight="1" x14ac:dyDescent="0.25">
      <c r="B24" s="25" t="s">
        <v>147</v>
      </c>
      <c r="C24" s="69" t="s">
        <v>148</v>
      </c>
      <c r="D24" s="69"/>
      <c r="E24" s="69"/>
      <c r="F24" s="69"/>
      <c r="G24" s="69"/>
      <c r="H24" s="69"/>
      <c r="I24" s="69"/>
    </row>
    <row r="25" spans="2:10" ht="27.75" customHeight="1" x14ac:dyDescent="0.25">
      <c r="B25" s="51" t="s">
        <v>149</v>
      </c>
      <c r="C25" s="66" t="s">
        <v>150</v>
      </c>
      <c r="D25" s="66"/>
      <c r="E25" s="66"/>
      <c r="F25" s="66"/>
      <c r="G25" s="66"/>
      <c r="H25" s="66"/>
      <c r="I25" s="66"/>
    </row>
    <row r="26" spans="2:10" ht="27.75" customHeight="1" x14ac:dyDescent="0.25">
      <c r="B26" s="51" t="s">
        <v>151</v>
      </c>
      <c r="C26" s="66" t="s">
        <v>152</v>
      </c>
      <c r="D26" s="66"/>
      <c r="E26" s="66"/>
      <c r="F26" s="66"/>
      <c r="G26" s="66"/>
      <c r="H26" s="66"/>
      <c r="I26" s="66"/>
    </row>
    <row r="27" spans="2:10" ht="27.75" customHeight="1" x14ac:dyDescent="0.25">
      <c r="B27" s="51" t="s">
        <v>153</v>
      </c>
      <c r="C27" s="66" t="s">
        <v>154</v>
      </c>
      <c r="D27" s="66"/>
      <c r="E27" s="66"/>
      <c r="F27" s="66"/>
      <c r="G27" s="66"/>
      <c r="H27" s="66"/>
      <c r="I27" s="66"/>
    </row>
    <row r="28" spans="2:10" ht="27.75" customHeight="1" x14ac:dyDescent="0.25">
      <c r="B28" s="51" t="s">
        <v>155</v>
      </c>
      <c r="C28" s="66" t="s">
        <v>156</v>
      </c>
      <c r="D28" s="66"/>
      <c r="E28" s="66"/>
      <c r="F28" s="66"/>
      <c r="G28" s="66"/>
      <c r="H28" s="66"/>
      <c r="I28" s="66"/>
    </row>
    <row r="29" spans="2:10" ht="27.75" customHeight="1" x14ac:dyDescent="0.25">
      <c r="B29" s="52" t="s">
        <v>157</v>
      </c>
      <c r="C29" s="67" t="s">
        <v>158</v>
      </c>
      <c r="D29" s="67"/>
      <c r="E29" s="67"/>
      <c r="F29" s="67"/>
      <c r="G29" s="67"/>
      <c r="H29" s="67"/>
      <c r="I29" s="67"/>
    </row>
    <row r="30" spans="2:10" ht="27.75" customHeight="1" x14ac:dyDescent="0.25">
      <c r="B30" s="53" t="s">
        <v>159</v>
      </c>
      <c r="C30" s="65" t="s">
        <v>160</v>
      </c>
      <c r="D30" s="65"/>
      <c r="E30" s="65"/>
      <c r="F30" s="65"/>
      <c r="G30" s="65"/>
      <c r="H30" s="65"/>
      <c r="I30" s="65"/>
    </row>
  </sheetData>
  <mergeCells count="16">
    <mergeCell ref="B1:I1"/>
    <mergeCell ref="B2:I2"/>
    <mergeCell ref="B4:I4"/>
    <mergeCell ref="B17:I17"/>
    <mergeCell ref="F18:J18"/>
    <mergeCell ref="F19:I19"/>
    <mergeCell ref="F20:I20"/>
    <mergeCell ref="F21:I21"/>
    <mergeCell ref="B23:I23"/>
    <mergeCell ref="C24:I24"/>
    <mergeCell ref="C30:I30"/>
    <mergeCell ref="C25:I25"/>
    <mergeCell ref="C26:I26"/>
    <mergeCell ref="C27:I27"/>
    <mergeCell ref="C28:I28"/>
    <mergeCell ref="C29:I29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TAHAP 1 – K-MEANS</vt:lpstr>
      <vt:lpstr>TAHAP 2 – AHP</vt:lpstr>
      <vt:lpstr>TAHAP 3 – WP</vt:lpstr>
      <vt:lpstr>TAHAP 4 – TOPSIS</vt:lpstr>
      <vt:lpstr>TAHAP 5 –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2026-05-09T08:30:48Z</dcterms:created>
  <dcterms:modified xsi:type="dcterms:W3CDTF">2026-05-12T04:01:18Z</dcterms:modified>
  <dc:language>en-US</dc:language>
</cp:coreProperties>
</file>