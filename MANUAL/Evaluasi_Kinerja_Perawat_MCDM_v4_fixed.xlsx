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firstSheet="4" activeTab="6"/>
  </bookViews>
  <sheets>
    <sheet name="COVER" sheetId="1" r:id="rId1"/>
    <sheet name="TAHAP 1 – K-MEANS" sheetId="2" r:id="rId2"/>
    <sheet name="SILHOUETTE" sheetId="3" r:id="rId3"/>
    <sheet name="TAHAP 2 – AHP" sheetId="4" r:id="rId4"/>
    <sheet name="TAHAP 3 – WP" sheetId="5" r:id="rId5"/>
    <sheet name="TAHAP 4 – TOPSIS" sheetId="6" r:id="rId6"/>
    <sheet name="TAHAP 5 – MODEL" sheetId="7" r:id="rId7"/>
  </sheet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8" i="5" l="1"/>
  <c r="I18" i="5"/>
  <c r="H18" i="5"/>
  <c r="G18" i="5"/>
  <c r="F18" i="5"/>
  <c r="E18" i="5"/>
  <c r="D18" i="5"/>
  <c r="C18" i="5"/>
  <c r="J17" i="5"/>
  <c r="I17" i="5"/>
  <c r="H17" i="5"/>
  <c r="G17" i="5"/>
  <c r="F17" i="5"/>
  <c r="E17" i="5"/>
  <c r="D17" i="5"/>
  <c r="C17" i="5"/>
  <c r="C14" i="6" s="1"/>
  <c r="C28" i="6" s="1"/>
  <c r="J16" i="5"/>
  <c r="I16" i="5"/>
  <c r="H16" i="5"/>
  <c r="G16" i="5"/>
  <c r="F16" i="5"/>
  <c r="E16" i="5"/>
  <c r="D16" i="5"/>
  <c r="C16" i="5"/>
  <c r="J15" i="5"/>
  <c r="I15" i="5"/>
  <c r="H15" i="5"/>
  <c r="G15" i="5"/>
  <c r="F15" i="5"/>
  <c r="E15" i="5"/>
  <c r="D15" i="5"/>
  <c r="C15" i="5"/>
  <c r="J14" i="5"/>
  <c r="I14" i="5"/>
  <c r="H14" i="5"/>
  <c r="G14" i="5"/>
  <c r="F14" i="5"/>
  <c r="E14" i="5"/>
  <c r="D14" i="5"/>
  <c r="C14" i="5"/>
  <c r="J13" i="5"/>
  <c r="I13" i="5"/>
  <c r="H13" i="5"/>
  <c r="G13" i="5"/>
  <c r="F13" i="5"/>
  <c r="E13" i="5"/>
  <c r="D13" i="5"/>
  <c r="C13" i="5"/>
  <c r="J12" i="5"/>
  <c r="I12" i="5"/>
  <c r="H12" i="5"/>
  <c r="G12" i="5"/>
  <c r="F12" i="5"/>
  <c r="E12" i="5"/>
  <c r="D12" i="5"/>
  <c r="C12" i="5"/>
  <c r="J11" i="5"/>
  <c r="I11" i="5"/>
  <c r="H11" i="5"/>
  <c r="G11" i="5"/>
  <c r="F11" i="5"/>
  <c r="E11" i="5"/>
  <c r="D11" i="5"/>
  <c r="C11" i="5"/>
  <c r="J10" i="5"/>
  <c r="I10" i="5"/>
  <c r="H10" i="5"/>
  <c r="G10" i="5"/>
  <c r="F10" i="5"/>
  <c r="E10" i="5"/>
  <c r="D10" i="5"/>
  <c r="C10" i="5"/>
  <c r="C7" i="7" s="1"/>
  <c r="J9" i="5"/>
  <c r="I9" i="5"/>
  <c r="H9" i="5"/>
  <c r="G9" i="5"/>
  <c r="F9" i="5"/>
  <c r="E9" i="5"/>
  <c r="D9" i="5"/>
  <c r="C9" i="5"/>
  <c r="C6" i="6" s="1"/>
  <c r="C20" i="6" s="1"/>
  <c r="V23" i="4"/>
  <c r="I23" i="4"/>
  <c r="V20" i="4"/>
  <c r="I20" i="4"/>
  <c r="V19" i="4"/>
  <c r="I19" i="4"/>
  <c r="I13" i="4"/>
  <c r="H13" i="4"/>
  <c r="H12" i="4"/>
  <c r="G12" i="4"/>
  <c r="F12" i="4"/>
  <c r="E12" i="4"/>
  <c r="D12" i="4"/>
  <c r="C12" i="4"/>
  <c r="G11" i="4"/>
  <c r="F11" i="4"/>
  <c r="E11" i="4"/>
  <c r="D11" i="4"/>
  <c r="C11" i="4"/>
  <c r="F10" i="4"/>
  <c r="E10" i="4"/>
  <c r="D10" i="4"/>
  <c r="C10" i="4"/>
  <c r="E9" i="4"/>
  <c r="D9" i="4"/>
  <c r="C9" i="4"/>
  <c r="D8" i="4"/>
  <c r="C8" i="4"/>
  <c r="C7" i="4"/>
  <c r="C41" i="3"/>
  <c r="J15" i="3"/>
  <c r="I15" i="3"/>
  <c r="H15" i="3"/>
  <c r="G15" i="3"/>
  <c r="F15" i="3"/>
  <c r="E15" i="3"/>
  <c r="D15" i="3"/>
  <c r="C15" i="3"/>
  <c r="C71" i="3" s="1"/>
  <c r="B15" i="3"/>
  <c r="J14" i="3"/>
  <c r="I14" i="3"/>
  <c r="H14" i="3"/>
  <c r="G14" i="3"/>
  <c r="F14" i="3"/>
  <c r="E14" i="3"/>
  <c r="D14" i="3"/>
  <c r="C14" i="3"/>
  <c r="B14" i="3"/>
  <c r="J13" i="3"/>
  <c r="I13" i="3"/>
  <c r="H13" i="3"/>
  <c r="G13" i="3"/>
  <c r="F13" i="3"/>
  <c r="E13" i="3"/>
  <c r="D13" i="3"/>
  <c r="C13" i="3"/>
  <c r="C69" i="3" s="1"/>
  <c r="B13" i="3"/>
  <c r="J12" i="3"/>
  <c r="I12" i="3"/>
  <c r="H12" i="3"/>
  <c r="G12" i="3"/>
  <c r="F12" i="3"/>
  <c r="E12" i="3"/>
  <c r="D12" i="3"/>
  <c r="C12" i="3"/>
  <c r="B12" i="3"/>
  <c r="B40" i="3" s="1"/>
  <c r="J11" i="3"/>
  <c r="I11" i="3"/>
  <c r="H11" i="3"/>
  <c r="G11" i="3"/>
  <c r="F11" i="3"/>
  <c r="E11" i="3"/>
  <c r="D11" i="3"/>
  <c r="C11" i="3"/>
  <c r="N25" i="3" s="1"/>
  <c r="B11" i="3"/>
  <c r="B67" i="3" s="1"/>
  <c r="J10" i="3"/>
  <c r="I10" i="3"/>
  <c r="H10" i="3"/>
  <c r="G10" i="3"/>
  <c r="F10" i="3"/>
  <c r="E10" i="3"/>
  <c r="D10" i="3"/>
  <c r="V24" i="3" s="1"/>
  <c r="C10" i="3"/>
  <c r="C66" i="3" s="1"/>
  <c r="B10" i="3"/>
  <c r="J9" i="3"/>
  <c r="I9" i="3"/>
  <c r="H9" i="3"/>
  <c r="G9" i="3"/>
  <c r="F9" i="3"/>
  <c r="E9" i="3"/>
  <c r="D9" i="3"/>
  <c r="C9" i="3"/>
  <c r="C65" i="3" s="1"/>
  <c r="B9" i="3"/>
  <c r="J8" i="3"/>
  <c r="I8" i="3"/>
  <c r="H8" i="3"/>
  <c r="G8" i="3"/>
  <c r="F8" i="3"/>
  <c r="E8" i="3"/>
  <c r="D8" i="3"/>
  <c r="C8" i="3"/>
  <c r="B8" i="3"/>
  <c r="J7" i="3"/>
  <c r="I7" i="3"/>
  <c r="H7" i="3"/>
  <c r="G7" i="3"/>
  <c r="F7" i="3"/>
  <c r="E7" i="3"/>
  <c r="D7" i="3"/>
  <c r="C7" i="3"/>
  <c r="C63" i="3" s="1"/>
  <c r="B7" i="3"/>
  <c r="J6" i="3"/>
  <c r="I6" i="3"/>
  <c r="H6" i="3"/>
  <c r="G6" i="3"/>
  <c r="F6" i="3"/>
  <c r="E6" i="3"/>
  <c r="D6" i="3"/>
  <c r="C6" i="3"/>
  <c r="N20" i="3" s="1"/>
  <c r="B6" i="3"/>
  <c r="B62" i="3" s="1"/>
  <c r="J89" i="2"/>
  <c r="I89" i="2"/>
  <c r="H89" i="2"/>
  <c r="G89" i="2"/>
  <c r="F89" i="2"/>
  <c r="E89" i="2"/>
  <c r="D89" i="2"/>
  <c r="C89" i="2"/>
  <c r="J88" i="2"/>
  <c r="I88" i="2"/>
  <c r="H88" i="2"/>
  <c r="G88" i="2"/>
  <c r="F88" i="2"/>
  <c r="E88" i="2"/>
  <c r="D88" i="2"/>
  <c r="C88" i="2"/>
  <c r="J87" i="2"/>
  <c r="I87" i="2"/>
  <c r="H87" i="2"/>
  <c r="G87" i="2"/>
  <c r="F87" i="2"/>
  <c r="E87" i="2"/>
  <c r="D87" i="2"/>
  <c r="C87" i="2"/>
  <c r="J86" i="2"/>
  <c r="I86" i="2"/>
  <c r="H86" i="2"/>
  <c r="G86" i="2"/>
  <c r="F86" i="2"/>
  <c r="E86" i="2"/>
  <c r="D86" i="2"/>
  <c r="C86" i="2"/>
  <c r="J85" i="2"/>
  <c r="I85" i="2"/>
  <c r="H85" i="2"/>
  <c r="G85" i="2"/>
  <c r="F85" i="2"/>
  <c r="E85" i="2"/>
  <c r="D85" i="2"/>
  <c r="C85" i="2"/>
  <c r="J84" i="2"/>
  <c r="I84" i="2"/>
  <c r="H84" i="2"/>
  <c r="G84" i="2"/>
  <c r="F84" i="2"/>
  <c r="E84" i="2"/>
  <c r="D84" i="2"/>
  <c r="C84" i="2"/>
  <c r="J83" i="2"/>
  <c r="I83" i="2"/>
  <c r="H83" i="2"/>
  <c r="G83" i="2"/>
  <c r="F83" i="2"/>
  <c r="E83" i="2"/>
  <c r="D83" i="2"/>
  <c r="C83" i="2"/>
  <c r="J82" i="2"/>
  <c r="I82" i="2"/>
  <c r="H82" i="2"/>
  <c r="G82" i="2"/>
  <c r="F82" i="2"/>
  <c r="E82" i="2"/>
  <c r="D82" i="2"/>
  <c r="C82" i="2"/>
  <c r="J81" i="2"/>
  <c r="I81" i="2"/>
  <c r="H81" i="2"/>
  <c r="G81" i="2"/>
  <c r="F81" i="2"/>
  <c r="E81" i="2"/>
  <c r="D81" i="2"/>
  <c r="C81" i="2"/>
  <c r="J80" i="2"/>
  <c r="I80" i="2"/>
  <c r="H80" i="2"/>
  <c r="G80" i="2"/>
  <c r="F80" i="2"/>
  <c r="E80" i="2"/>
  <c r="D80" i="2"/>
  <c r="C80" i="2"/>
  <c r="C69" i="2"/>
  <c r="C68" i="2"/>
  <c r="C67" i="2"/>
  <c r="C66" i="2"/>
  <c r="C65" i="2"/>
  <c r="C64" i="2"/>
  <c r="C63" i="2"/>
  <c r="C62" i="2"/>
  <c r="C61" i="2"/>
  <c r="C60" i="2"/>
  <c r="C52" i="2"/>
  <c r="C51" i="2"/>
  <c r="C50" i="2"/>
  <c r="C49" i="2"/>
  <c r="C48" i="2"/>
  <c r="C47" i="2"/>
  <c r="C46" i="2"/>
  <c r="C45" i="2"/>
  <c r="C44" i="2"/>
  <c r="C43" i="2"/>
  <c r="F35" i="2"/>
  <c r="I35" i="2" s="1"/>
  <c r="E35" i="2"/>
  <c r="H35" i="2" s="1"/>
  <c r="D35" i="2"/>
  <c r="G35" i="2" s="1"/>
  <c r="C35" i="2"/>
  <c r="F34" i="2"/>
  <c r="I34" i="2" s="1"/>
  <c r="E34" i="2"/>
  <c r="H34" i="2" s="1"/>
  <c r="D34" i="2"/>
  <c r="G34" i="2" s="1"/>
  <c r="C34" i="2"/>
  <c r="G33" i="2"/>
  <c r="F33" i="2"/>
  <c r="I33" i="2" s="1"/>
  <c r="E33" i="2"/>
  <c r="H33" i="2" s="1"/>
  <c r="D33" i="2"/>
  <c r="C33" i="2"/>
  <c r="F32" i="2"/>
  <c r="I32" i="2" s="1"/>
  <c r="E32" i="2"/>
  <c r="H32" i="2" s="1"/>
  <c r="D32" i="2"/>
  <c r="G32" i="2" s="1"/>
  <c r="C32" i="2"/>
  <c r="F31" i="2"/>
  <c r="I31" i="2" s="1"/>
  <c r="E31" i="2"/>
  <c r="H31" i="2" s="1"/>
  <c r="D31" i="2"/>
  <c r="G31" i="2" s="1"/>
  <c r="C31" i="2"/>
  <c r="F30" i="2"/>
  <c r="I30" i="2" s="1"/>
  <c r="E30" i="2"/>
  <c r="H30" i="2" s="1"/>
  <c r="D30" i="2"/>
  <c r="G30" i="2" s="1"/>
  <c r="C30" i="2"/>
  <c r="G29" i="2"/>
  <c r="F29" i="2"/>
  <c r="I29" i="2" s="1"/>
  <c r="E29" i="2"/>
  <c r="H29" i="2" s="1"/>
  <c r="D29" i="2"/>
  <c r="C29" i="2"/>
  <c r="H28" i="2"/>
  <c r="F28" i="2"/>
  <c r="I28" i="2" s="1"/>
  <c r="E28" i="2"/>
  <c r="D28" i="2"/>
  <c r="G28" i="2" s="1"/>
  <c r="C28" i="2"/>
  <c r="F27" i="2"/>
  <c r="I27" i="2" s="1"/>
  <c r="E27" i="2"/>
  <c r="H27" i="2" s="1"/>
  <c r="D27" i="2"/>
  <c r="G27" i="2" s="1"/>
  <c r="C27" i="2"/>
  <c r="F26" i="2"/>
  <c r="I26" i="2" s="1"/>
  <c r="E26" i="2"/>
  <c r="H26" i="2" s="1"/>
  <c r="D26" i="2"/>
  <c r="G26" i="2" s="1"/>
  <c r="C26" i="2"/>
  <c r="L15" i="2"/>
  <c r="L89" i="2" s="1"/>
  <c r="K15" i="2"/>
  <c r="K89" i="2" s="1"/>
  <c r="L14" i="2"/>
  <c r="L88" i="2" s="1"/>
  <c r="K14" i="2"/>
  <c r="K88" i="2" s="1"/>
  <c r="L13" i="2"/>
  <c r="L87" i="2" s="1"/>
  <c r="K13" i="2"/>
  <c r="K87" i="2" s="1"/>
  <c r="L12" i="2"/>
  <c r="L86" i="2" s="1"/>
  <c r="K12" i="2"/>
  <c r="K86" i="2" s="1"/>
  <c r="L11" i="2"/>
  <c r="L85" i="2" s="1"/>
  <c r="K11" i="2"/>
  <c r="K85" i="2" s="1"/>
  <c r="L10" i="2"/>
  <c r="L84" i="2" s="1"/>
  <c r="K10" i="2"/>
  <c r="K84" i="2" s="1"/>
  <c r="L9" i="2"/>
  <c r="L83" i="2" s="1"/>
  <c r="K9" i="2"/>
  <c r="K83" i="2" s="1"/>
  <c r="L8" i="2"/>
  <c r="L82" i="2" s="1"/>
  <c r="K8" i="2"/>
  <c r="K82" i="2" s="1"/>
  <c r="L7" i="2"/>
  <c r="L81" i="2" s="1"/>
  <c r="K7" i="2"/>
  <c r="K81" i="2" s="1"/>
  <c r="L6" i="2"/>
  <c r="L80" i="2" s="1"/>
  <c r="K6" i="2"/>
  <c r="K80" i="2" s="1"/>
  <c r="J30" i="2" l="1"/>
  <c r="K30" i="2" s="1"/>
  <c r="J31" i="2"/>
  <c r="K31" i="2" s="1"/>
  <c r="W23" i="3"/>
  <c r="W27" i="3"/>
  <c r="N27" i="3"/>
  <c r="C39" i="3"/>
  <c r="C51" i="3"/>
  <c r="C67" i="3"/>
  <c r="N21" i="3"/>
  <c r="N29" i="3"/>
  <c r="C53" i="3"/>
  <c r="X21" i="3"/>
  <c r="T29" i="3"/>
  <c r="N23" i="3"/>
  <c r="C35" i="3"/>
  <c r="C43" i="3"/>
  <c r="C55" i="3"/>
  <c r="V22" i="3"/>
  <c r="V26" i="3"/>
  <c r="C37" i="3"/>
  <c r="C49" i="3"/>
  <c r="C57" i="3"/>
  <c r="J26" i="2"/>
  <c r="J27" i="2"/>
  <c r="K27" i="2" s="1"/>
  <c r="J32" i="2"/>
  <c r="K32" i="2" s="1"/>
  <c r="J33" i="2"/>
  <c r="K33" i="2" s="1"/>
  <c r="J28" i="2"/>
  <c r="K28" i="2" s="1"/>
  <c r="J29" i="2"/>
  <c r="K29" i="2" s="1"/>
  <c r="J34" i="2"/>
  <c r="K34" i="2" s="1"/>
  <c r="J35" i="2"/>
  <c r="K35" i="2" s="1"/>
  <c r="U20" i="3"/>
  <c r="Q20" i="3"/>
  <c r="M21" i="3"/>
  <c r="B63" i="3"/>
  <c r="B35" i="3"/>
  <c r="B66" i="3"/>
  <c r="B52" i="3"/>
  <c r="V25" i="3"/>
  <c r="Q25" i="3"/>
  <c r="X25" i="3"/>
  <c r="S25" i="3"/>
  <c r="O25" i="3"/>
  <c r="C68" i="3"/>
  <c r="N26" i="3"/>
  <c r="C54" i="3"/>
  <c r="C40" i="3"/>
  <c r="T28" i="3"/>
  <c r="P28" i="3"/>
  <c r="V28" i="3"/>
  <c r="R28" i="3"/>
  <c r="B57" i="3"/>
  <c r="M29" i="3"/>
  <c r="B71" i="3"/>
  <c r="B43" i="3"/>
  <c r="R20" i="3"/>
  <c r="W20" i="3"/>
  <c r="Q21" i="3"/>
  <c r="W21" i="3"/>
  <c r="R22" i="3"/>
  <c r="T24" i="3"/>
  <c r="P25" i="3"/>
  <c r="M26" i="3"/>
  <c r="R27" i="3"/>
  <c r="O28" i="3"/>
  <c r="X28" i="3"/>
  <c r="B38" i="3"/>
  <c r="B49" i="3"/>
  <c r="U23" i="4"/>
  <c r="B50" i="3"/>
  <c r="B64" i="3"/>
  <c r="X23" i="3"/>
  <c r="T23" i="3"/>
  <c r="O23" i="3"/>
  <c r="V23" i="3"/>
  <c r="Q23" i="3"/>
  <c r="C38" i="3"/>
  <c r="C52" i="3"/>
  <c r="N24" i="3"/>
  <c r="W26" i="3"/>
  <c r="R26" i="3"/>
  <c r="T26" i="3"/>
  <c r="P26" i="3"/>
  <c r="B55" i="3"/>
  <c r="B69" i="3"/>
  <c r="B41" i="3"/>
  <c r="M27" i="3"/>
  <c r="M20" i="3"/>
  <c r="S20" i="3"/>
  <c r="X20" i="3"/>
  <c r="S21" i="3"/>
  <c r="T22" i="3"/>
  <c r="P23" i="3"/>
  <c r="M24" i="3"/>
  <c r="R25" i="3"/>
  <c r="O26" i="3"/>
  <c r="X26" i="3"/>
  <c r="T27" i="3"/>
  <c r="Q28" i="3"/>
  <c r="V29" i="3"/>
  <c r="B36" i="3"/>
  <c r="U20" i="4"/>
  <c r="H20" i="4"/>
  <c r="U21" i="4"/>
  <c r="H21" i="4"/>
  <c r="U17" i="4"/>
  <c r="H17" i="4"/>
  <c r="U22" i="4"/>
  <c r="H22" i="4"/>
  <c r="H18" i="4"/>
  <c r="H19" i="4"/>
  <c r="U18" i="4"/>
  <c r="V21" i="3"/>
  <c r="R21" i="3"/>
  <c r="C64" i="3"/>
  <c r="N22" i="3"/>
  <c r="C36" i="3"/>
  <c r="U24" i="3"/>
  <c r="P24" i="3"/>
  <c r="W24" i="3"/>
  <c r="R24" i="3"/>
  <c r="B53" i="3"/>
  <c r="M25" i="3"/>
  <c r="B39" i="3"/>
  <c r="B70" i="3"/>
  <c r="B56" i="3"/>
  <c r="B42" i="3"/>
  <c r="U29" i="3"/>
  <c r="Q29" i="3"/>
  <c r="W29" i="3"/>
  <c r="S29" i="3"/>
  <c r="O29" i="3"/>
  <c r="T20" i="3"/>
  <c r="T21" i="3"/>
  <c r="M22" i="3"/>
  <c r="S23" i="3"/>
  <c r="O24" i="3"/>
  <c r="X24" i="3"/>
  <c r="U25" i="3"/>
  <c r="Q26" i="3"/>
  <c r="S28" i="3"/>
  <c r="P29" i="3"/>
  <c r="B34" i="3"/>
  <c r="B48" i="3"/>
  <c r="U19" i="4"/>
  <c r="C34" i="3"/>
  <c r="C62" i="3"/>
  <c r="C48" i="3"/>
  <c r="W22" i="3"/>
  <c r="S22" i="3"/>
  <c r="U22" i="3"/>
  <c r="P22" i="3"/>
  <c r="B51" i="3"/>
  <c r="B65" i="3"/>
  <c r="B37" i="3"/>
  <c r="M23" i="3"/>
  <c r="B54" i="3"/>
  <c r="B68" i="3"/>
  <c r="X27" i="3"/>
  <c r="S27" i="3"/>
  <c r="O27" i="3"/>
  <c r="U27" i="3"/>
  <c r="Q27" i="3"/>
  <c r="C42" i="3"/>
  <c r="C70" i="3"/>
  <c r="C56" i="3"/>
  <c r="N28" i="3"/>
  <c r="P20" i="3"/>
  <c r="V20" i="3"/>
  <c r="O21" i="3"/>
  <c r="U21" i="3"/>
  <c r="O22" i="3"/>
  <c r="X22" i="3"/>
  <c r="U23" i="3"/>
  <c r="Q24" i="3"/>
  <c r="W25" i="3"/>
  <c r="S26" i="3"/>
  <c r="P27" i="3"/>
  <c r="M28" i="3"/>
  <c r="U28" i="3"/>
  <c r="R29" i="3"/>
  <c r="C50" i="3"/>
  <c r="P19" i="4"/>
  <c r="C19" i="4"/>
  <c r="E13" i="4"/>
  <c r="E23" i="4" s="1"/>
  <c r="F13" i="4"/>
  <c r="S21" i="4" s="1"/>
  <c r="S22" i="4"/>
  <c r="F22" i="4"/>
  <c r="C13" i="4"/>
  <c r="D16" i="6"/>
  <c r="D6" i="6" s="1"/>
  <c r="H16" i="6"/>
  <c r="H6" i="6" s="1"/>
  <c r="J16" i="6"/>
  <c r="J7" i="6" s="1"/>
  <c r="C12" i="7"/>
  <c r="C12" i="6"/>
  <c r="C26" i="6" s="1"/>
  <c r="C41" i="6"/>
  <c r="S23" i="4"/>
  <c r="F23" i="4"/>
  <c r="D13" i="4"/>
  <c r="D19" i="4" s="1"/>
  <c r="P22" i="4"/>
  <c r="C38" i="6"/>
  <c r="C9" i="7"/>
  <c r="C9" i="6"/>
  <c r="C23" i="6" s="1"/>
  <c r="G13" i="4"/>
  <c r="P21" i="4"/>
  <c r="P20" i="4"/>
  <c r="C20" i="4"/>
  <c r="Q21" i="4"/>
  <c r="D21" i="4"/>
  <c r="P23" i="4"/>
  <c r="C23" i="4"/>
  <c r="T23" i="4"/>
  <c r="G23" i="4"/>
  <c r="V21" i="4"/>
  <c r="I21" i="4"/>
  <c r="V17" i="4"/>
  <c r="I17" i="4"/>
  <c r="V22" i="4"/>
  <c r="I22" i="4"/>
  <c r="V18" i="4"/>
  <c r="I18" i="4"/>
  <c r="C18" i="4"/>
  <c r="H23" i="4"/>
  <c r="E16" i="6"/>
  <c r="E7" i="6" s="1"/>
  <c r="C42" i="6"/>
  <c r="C13" i="7"/>
  <c r="C13" i="6"/>
  <c r="C27" i="6" s="1"/>
  <c r="I16" i="6"/>
  <c r="I8" i="6" s="1"/>
  <c r="Q20" i="4"/>
  <c r="D20" i="4"/>
  <c r="R21" i="4"/>
  <c r="E21" i="4"/>
  <c r="R22" i="4"/>
  <c r="E22" i="4"/>
  <c r="F16" i="6"/>
  <c r="F12" i="6" s="1"/>
  <c r="C8" i="7"/>
  <c r="C37" i="6"/>
  <c r="C8" i="6"/>
  <c r="C22" i="6" s="1"/>
  <c r="C11" i="7"/>
  <c r="C11" i="6"/>
  <c r="C25" i="6" s="1"/>
  <c r="C44" i="6"/>
  <c r="C15" i="7"/>
  <c r="C15" i="6"/>
  <c r="C29" i="6" s="1"/>
  <c r="C7" i="6"/>
  <c r="C21" i="6" s="1"/>
  <c r="C36" i="6"/>
  <c r="C35" i="6"/>
  <c r="C6" i="7"/>
  <c r="G16" i="6"/>
  <c r="G9" i="6" s="1"/>
  <c r="J9" i="6"/>
  <c r="C39" i="6"/>
  <c r="C10" i="7"/>
  <c r="J13" i="6"/>
  <c r="C43" i="6"/>
  <c r="C14" i="7"/>
  <c r="C10" i="6"/>
  <c r="C24" i="6" s="1"/>
  <c r="C40" i="6"/>
  <c r="J8" i="6" l="1"/>
  <c r="J15" i="6"/>
  <c r="G11" i="6"/>
  <c r="E13" i="6"/>
  <c r="E9" i="6"/>
  <c r="J10" i="6"/>
  <c r="J24" i="6" s="1"/>
  <c r="H10" i="6"/>
  <c r="H7" i="6"/>
  <c r="H12" i="6"/>
  <c r="H15" i="6"/>
  <c r="H11" i="6"/>
  <c r="F9" i="6"/>
  <c r="J11" i="6"/>
  <c r="D7" i="6"/>
  <c r="D15" i="6"/>
  <c r="D13" i="6"/>
  <c r="D11" i="6"/>
  <c r="H14" i="6"/>
  <c r="H9" i="6"/>
  <c r="I9" i="6"/>
  <c r="D10" i="6"/>
  <c r="D14" i="6"/>
  <c r="D9" i="6"/>
  <c r="F14" i="6"/>
  <c r="E11" i="6"/>
  <c r="I6" i="6"/>
  <c r="J23" i="4"/>
  <c r="I6" i="5" s="1"/>
  <c r="E15" i="6"/>
  <c r="E10" i="6"/>
  <c r="G12" i="6"/>
  <c r="H8" i="6"/>
  <c r="H13" i="6"/>
  <c r="P17" i="4"/>
  <c r="C17" i="4"/>
  <c r="C21" i="4"/>
  <c r="C22" i="4"/>
  <c r="R20" i="4"/>
  <c r="F10" i="6"/>
  <c r="F6" i="6"/>
  <c r="J22" i="6"/>
  <c r="E12" i="6"/>
  <c r="E8" i="6"/>
  <c r="T19" i="4"/>
  <c r="G19" i="4"/>
  <c r="T20" i="4"/>
  <c r="G20" i="4"/>
  <c r="T21" i="4"/>
  <c r="G21" i="4"/>
  <c r="G17" i="4"/>
  <c r="G18" i="4"/>
  <c r="T17" i="4"/>
  <c r="T18" i="4"/>
  <c r="G14" i="6"/>
  <c r="J6" i="6"/>
  <c r="J20" i="6" s="1"/>
  <c r="J14" i="6"/>
  <c r="S18" i="4"/>
  <c r="F18" i="4"/>
  <c r="S19" i="4"/>
  <c r="F19" i="4"/>
  <c r="S20" i="4"/>
  <c r="F20" i="4"/>
  <c r="F17" i="4"/>
  <c r="S17" i="4"/>
  <c r="J19" i="4"/>
  <c r="E6" i="5" s="1"/>
  <c r="F23" i="6" s="1"/>
  <c r="J27" i="6"/>
  <c r="G10" i="6"/>
  <c r="G6" i="6"/>
  <c r="G13" i="6"/>
  <c r="I12" i="6"/>
  <c r="I14" i="6"/>
  <c r="F8" i="6"/>
  <c r="E6" i="6"/>
  <c r="J21" i="6"/>
  <c r="I11" i="6"/>
  <c r="G22" i="4"/>
  <c r="F7" i="6"/>
  <c r="R17" i="4"/>
  <c r="E17" i="4"/>
  <c r="R18" i="4"/>
  <c r="E18" i="4"/>
  <c r="R19" i="4"/>
  <c r="E19" i="4"/>
  <c r="R23" i="4"/>
  <c r="P18" i="4"/>
  <c r="F13" i="6"/>
  <c r="G15" i="6"/>
  <c r="I13" i="6"/>
  <c r="F11" i="6"/>
  <c r="F25" i="6" s="1"/>
  <c r="G8" i="6"/>
  <c r="E14" i="6"/>
  <c r="G7" i="6"/>
  <c r="F15" i="6"/>
  <c r="F29" i="6" s="1"/>
  <c r="I15" i="6"/>
  <c r="I10" i="6"/>
  <c r="Q17" i="4"/>
  <c r="D17" i="4"/>
  <c r="Q18" i="4"/>
  <c r="D18" i="4"/>
  <c r="J18" i="4" s="1"/>
  <c r="D6" i="5" s="1"/>
  <c r="Q23" i="4"/>
  <c r="Q22" i="4"/>
  <c r="D22" i="4"/>
  <c r="D23" i="4"/>
  <c r="T22" i="4"/>
  <c r="Q19" i="4"/>
  <c r="D12" i="6"/>
  <c r="D8" i="6"/>
  <c r="F21" i="4"/>
  <c r="E20" i="4"/>
  <c r="J20" i="4" s="1"/>
  <c r="F6" i="5" s="1"/>
  <c r="I7" i="6"/>
  <c r="J12" i="6"/>
  <c r="J26" i="6" s="1"/>
  <c r="H40" i="2"/>
  <c r="D40" i="2"/>
  <c r="H39" i="2"/>
  <c r="D39" i="2"/>
  <c r="H38" i="2"/>
  <c r="D38" i="2"/>
  <c r="G40" i="2"/>
  <c r="C40" i="2"/>
  <c r="G39" i="2"/>
  <c r="C39" i="2"/>
  <c r="G38" i="2"/>
  <c r="C38" i="2"/>
  <c r="J40" i="2"/>
  <c r="F40" i="2"/>
  <c r="J39" i="2"/>
  <c r="F39" i="2"/>
  <c r="J38" i="2"/>
  <c r="F38" i="2"/>
  <c r="I40" i="2"/>
  <c r="E40" i="2"/>
  <c r="I39" i="2"/>
  <c r="E39" i="2"/>
  <c r="I38" i="2"/>
  <c r="E38" i="2"/>
  <c r="K26" i="2"/>
  <c r="J25" i="6" l="1"/>
  <c r="E27" i="6"/>
  <c r="E23" i="6"/>
  <c r="E21" i="6"/>
  <c r="G23" i="6"/>
  <c r="G25" i="6"/>
  <c r="E50" i="2"/>
  <c r="H50" i="2" s="1"/>
  <c r="E46" i="2"/>
  <c r="H46" i="2" s="1"/>
  <c r="E49" i="2"/>
  <c r="H49" i="2" s="1"/>
  <c r="E45" i="2"/>
  <c r="H45" i="2" s="1"/>
  <c r="E52" i="2"/>
  <c r="H52" i="2" s="1"/>
  <c r="E48" i="2"/>
  <c r="H48" i="2" s="1"/>
  <c r="E44" i="2"/>
  <c r="H44" i="2" s="1"/>
  <c r="E51" i="2"/>
  <c r="H51" i="2" s="1"/>
  <c r="E47" i="2"/>
  <c r="H47" i="2" s="1"/>
  <c r="E43" i="2"/>
  <c r="H43" i="2" s="1"/>
  <c r="G26" i="6"/>
  <c r="E20" i="6"/>
  <c r="J17" i="4"/>
  <c r="E25" i="6"/>
  <c r="E28" i="6"/>
  <c r="F21" i="6"/>
  <c r="F22" i="6"/>
  <c r="G27" i="6"/>
  <c r="G28" i="6"/>
  <c r="E24" i="6"/>
  <c r="F26" i="6"/>
  <c r="D51" i="2"/>
  <c r="G51" i="2" s="1"/>
  <c r="D47" i="2"/>
  <c r="G47" i="2" s="1"/>
  <c r="D43" i="2"/>
  <c r="G43" i="2" s="1"/>
  <c r="D50" i="2"/>
  <c r="G50" i="2" s="1"/>
  <c r="D46" i="2"/>
  <c r="G46" i="2" s="1"/>
  <c r="D49" i="2"/>
  <c r="G49" i="2" s="1"/>
  <c r="D45" i="2"/>
  <c r="G45" i="2" s="1"/>
  <c r="D52" i="2"/>
  <c r="G52" i="2" s="1"/>
  <c r="D48" i="2"/>
  <c r="G48" i="2" s="1"/>
  <c r="D44" i="2"/>
  <c r="G44" i="2" s="1"/>
  <c r="G29" i="6"/>
  <c r="G20" i="6"/>
  <c r="E22" i="6"/>
  <c r="F20" i="6"/>
  <c r="J22" i="4"/>
  <c r="H6" i="5" s="1"/>
  <c r="E29" i="6"/>
  <c r="J23" i="6"/>
  <c r="F49" i="2"/>
  <c r="I49" i="2" s="1"/>
  <c r="F45" i="2"/>
  <c r="I45" i="2" s="1"/>
  <c r="F52" i="2"/>
  <c r="I52" i="2" s="1"/>
  <c r="F48" i="2"/>
  <c r="I48" i="2" s="1"/>
  <c r="F44" i="2"/>
  <c r="I44" i="2" s="1"/>
  <c r="F51" i="2"/>
  <c r="I51" i="2" s="1"/>
  <c r="F47" i="2"/>
  <c r="I47" i="2" s="1"/>
  <c r="F43" i="2"/>
  <c r="I43" i="2" s="1"/>
  <c r="F50" i="2"/>
  <c r="I50" i="2" s="1"/>
  <c r="F46" i="2"/>
  <c r="I46" i="2" s="1"/>
  <c r="I21" i="6"/>
  <c r="I24" i="6"/>
  <c r="G21" i="6"/>
  <c r="G22" i="6"/>
  <c r="F27" i="6"/>
  <c r="I25" i="6"/>
  <c r="J29" i="6"/>
  <c r="G24" i="6"/>
  <c r="J28" i="6"/>
  <c r="E26" i="6"/>
  <c r="F24" i="6"/>
  <c r="J21" i="4"/>
  <c r="G6" i="5" s="1"/>
  <c r="H22" i="6" s="1"/>
  <c r="I20" i="6"/>
  <c r="F28" i="6"/>
  <c r="J31" i="6" l="1"/>
  <c r="J48" i="2"/>
  <c r="K48" i="2" s="1"/>
  <c r="J45" i="2"/>
  <c r="K45" i="2" s="1"/>
  <c r="I22" i="6"/>
  <c r="I23" i="6"/>
  <c r="I28" i="6"/>
  <c r="J46" i="2"/>
  <c r="K46" i="2" s="1"/>
  <c r="J51" i="2"/>
  <c r="K51" i="2" s="1"/>
  <c r="J30" i="6"/>
  <c r="I26" i="6"/>
  <c r="F30" i="6"/>
  <c r="F31" i="6"/>
  <c r="J52" i="2"/>
  <c r="K52" i="2" s="1"/>
  <c r="J50" i="2"/>
  <c r="K50" i="2" s="1"/>
  <c r="E30" i="6"/>
  <c r="E31" i="6"/>
  <c r="J43" i="2"/>
  <c r="C26" i="4"/>
  <c r="C27" i="4" s="1"/>
  <c r="F26" i="4"/>
  <c r="F27" i="4" s="1"/>
  <c r="C6" i="5"/>
  <c r="I26" i="4"/>
  <c r="I27" i="4" s="1"/>
  <c r="G26" i="4"/>
  <c r="G27" i="4" s="1"/>
  <c r="E26" i="4"/>
  <c r="E27" i="4" s="1"/>
  <c r="H26" i="4"/>
  <c r="H27" i="4" s="1"/>
  <c r="D26" i="4"/>
  <c r="D27" i="4" s="1"/>
  <c r="I29" i="6"/>
  <c r="H25" i="6"/>
  <c r="H24" i="6"/>
  <c r="H21" i="6"/>
  <c r="H29" i="6"/>
  <c r="H23" i="6"/>
  <c r="H28" i="6"/>
  <c r="H26" i="6"/>
  <c r="H20" i="6"/>
  <c r="H27" i="6"/>
  <c r="G31" i="6"/>
  <c r="G30" i="6"/>
  <c r="J44" i="2"/>
  <c r="K44" i="2" s="1"/>
  <c r="J49" i="2"/>
  <c r="K49" i="2" s="1"/>
  <c r="J47" i="2"/>
  <c r="K47" i="2" s="1"/>
  <c r="I27" i="6"/>
  <c r="I30" i="6" l="1"/>
  <c r="I57" i="2"/>
  <c r="I75" i="2" s="1"/>
  <c r="E57" i="2"/>
  <c r="E75" i="2" s="1"/>
  <c r="I56" i="2"/>
  <c r="I74" i="2" s="1"/>
  <c r="E56" i="2"/>
  <c r="E74" i="2" s="1"/>
  <c r="J57" i="2"/>
  <c r="D57" i="2"/>
  <c r="D75" i="2" s="1"/>
  <c r="G56" i="2"/>
  <c r="G74" i="2" s="1"/>
  <c r="J55" i="2"/>
  <c r="F55" i="2"/>
  <c r="F73" i="2" s="1"/>
  <c r="H57" i="2"/>
  <c r="H75" i="2" s="1"/>
  <c r="C57" i="2"/>
  <c r="F56" i="2"/>
  <c r="F74" i="2" s="1"/>
  <c r="I55" i="2"/>
  <c r="I73" i="2" s="1"/>
  <c r="E55" i="2"/>
  <c r="E73" i="2" s="1"/>
  <c r="K43" i="2"/>
  <c r="G57" i="2"/>
  <c r="G75" i="2" s="1"/>
  <c r="J56" i="2"/>
  <c r="D56" i="2"/>
  <c r="D74" i="2" s="1"/>
  <c r="H55" i="2"/>
  <c r="H73" i="2" s="1"/>
  <c r="D55" i="2"/>
  <c r="D73" i="2" s="1"/>
  <c r="F57" i="2"/>
  <c r="F75" i="2" s="1"/>
  <c r="H56" i="2"/>
  <c r="H74" i="2" s="1"/>
  <c r="C56" i="2"/>
  <c r="G55" i="2"/>
  <c r="G73" i="2" s="1"/>
  <c r="C55" i="2"/>
  <c r="K11" i="5"/>
  <c r="K12" i="5"/>
  <c r="K15" i="5"/>
  <c r="K16" i="5"/>
  <c r="K18" i="5"/>
  <c r="K9" i="5"/>
  <c r="K10" i="5"/>
  <c r="K17" i="5"/>
  <c r="K13" i="5"/>
  <c r="K14" i="5"/>
  <c r="D20" i="6"/>
  <c r="D24" i="6"/>
  <c r="D28" i="6"/>
  <c r="D21" i="6"/>
  <c r="D23" i="6"/>
  <c r="D25" i="6"/>
  <c r="D27" i="6"/>
  <c r="D29" i="6"/>
  <c r="D22" i="6"/>
  <c r="D26" i="6"/>
  <c r="I31" i="6"/>
  <c r="H30" i="6"/>
  <c r="H31" i="6"/>
  <c r="C29" i="4"/>
  <c r="C30" i="4" s="1"/>
  <c r="C32" i="4" s="1"/>
  <c r="C33" i="4" s="1"/>
  <c r="D30" i="6" l="1"/>
  <c r="K8" i="6" s="1"/>
  <c r="D31" i="6"/>
  <c r="L15" i="6" s="1"/>
  <c r="D7" i="7"/>
  <c r="L10" i="5"/>
  <c r="D12" i="7"/>
  <c r="L15" i="5"/>
  <c r="D11" i="7"/>
  <c r="L14" i="5"/>
  <c r="D6" i="7"/>
  <c r="L9" i="5"/>
  <c r="D9" i="7"/>
  <c r="L12" i="5"/>
  <c r="C74" i="2"/>
  <c r="E68" i="2"/>
  <c r="H68" i="2" s="1"/>
  <c r="E64" i="2"/>
  <c r="H64" i="2" s="1"/>
  <c r="E60" i="2"/>
  <c r="H60" i="2" s="1"/>
  <c r="E67" i="2"/>
  <c r="H67" i="2" s="1"/>
  <c r="E63" i="2"/>
  <c r="H63" i="2" s="1"/>
  <c r="E69" i="2"/>
  <c r="H69" i="2" s="1"/>
  <c r="E66" i="2"/>
  <c r="H66" i="2" s="1"/>
  <c r="E65" i="2"/>
  <c r="H65" i="2" s="1"/>
  <c r="E62" i="2"/>
  <c r="H62" i="2" s="1"/>
  <c r="E61" i="2"/>
  <c r="H61" i="2" s="1"/>
  <c r="C75" i="2"/>
  <c r="F67" i="2"/>
  <c r="I67" i="2" s="1"/>
  <c r="F63" i="2"/>
  <c r="I63" i="2" s="1"/>
  <c r="F68" i="2"/>
  <c r="I68" i="2" s="1"/>
  <c r="F64" i="2"/>
  <c r="I64" i="2" s="1"/>
  <c r="F60" i="2"/>
  <c r="I60" i="2" s="1"/>
  <c r="F69" i="2"/>
  <c r="I69" i="2" s="1"/>
  <c r="F66" i="2"/>
  <c r="I66" i="2" s="1"/>
  <c r="F65" i="2"/>
  <c r="I65" i="2" s="1"/>
  <c r="F62" i="2"/>
  <c r="I62" i="2" s="1"/>
  <c r="F61" i="2"/>
  <c r="I61" i="2" s="1"/>
  <c r="L13" i="6"/>
  <c r="L14" i="6"/>
  <c r="K14" i="6"/>
  <c r="D10" i="7"/>
  <c r="L13" i="5"/>
  <c r="D15" i="7"/>
  <c r="L18" i="5"/>
  <c r="D8" i="7"/>
  <c r="L11" i="5"/>
  <c r="K12" i="6"/>
  <c r="L12" i="6"/>
  <c r="L11" i="6"/>
  <c r="K11" i="6"/>
  <c r="L10" i="6"/>
  <c r="K10" i="6"/>
  <c r="D14" i="7"/>
  <c r="L17" i="5"/>
  <c r="D13" i="7"/>
  <c r="L16" i="5"/>
  <c r="C73" i="2"/>
  <c r="D69" i="2"/>
  <c r="G69" i="2" s="1"/>
  <c r="D65" i="2"/>
  <c r="G65" i="2" s="1"/>
  <c r="J65" i="2" s="1"/>
  <c r="D61" i="2"/>
  <c r="G61" i="2" s="1"/>
  <c r="D66" i="2"/>
  <c r="G66" i="2" s="1"/>
  <c r="J66" i="2" s="1"/>
  <c r="D62" i="2"/>
  <c r="G62" i="2" s="1"/>
  <c r="D67" i="2"/>
  <c r="G67" i="2" s="1"/>
  <c r="J67" i="2" s="1"/>
  <c r="D63" i="2"/>
  <c r="G63" i="2" s="1"/>
  <c r="J63" i="2" s="1"/>
  <c r="D68" i="2"/>
  <c r="G68" i="2" s="1"/>
  <c r="J68" i="2" s="1"/>
  <c r="D64" i="2"/>
  <c r="G64" i="2" s="1"/>
  <c r="D60" i="2"/>
  <c r="G60" i="2" s="1"/>
  <c r="J60" i="2" s="1"/>
  <c r="K13" i="6" l="1"/>
  <c r="K7" i="6"/>
  <c r="J61" i="2"/>
  <c r="J64" i="2"/>
  <c r="J62" i="2"/>
  <c r="K62" i="2" s="1"/>
  <c r="J69" i="2"/>
  <c r="M89" i="2" s="1"/>
  <c r="L7" i="6"/>
  <c r="K15" i="6"/>
  <c r="M15" i="6" s="1"/>
  <c r="F15" i="7" s="1"/>
  <c r="I15" i="7" s="1"/>
  <c r="M12" i="6"/>
  <c r="L6" i="6"/>
  <c r="K6" i="6"/>
  <c r="K9" i="6"/>
  <c r="M83" i="2"/>
  <c r="K63" i="2"/>
  <c r="M9" i="2"/>
  <c r="M12" i="5" s="1"/>
  <c r="M7" i="2"/>
  <c r="M10" i="5" s="1"/>
  <c r="M81" i="2"/>
  <c r="K61" i="2"/>
  <c r="E13" i="7"/>
  <c r="D42" i="6"/>
  <c r="F12" i="7"/>
  <c r="I12" i="7" s="1"/>
  <c r="E15" i="7"/>
  <c r="D44" i="6"/>
  <c r="E6" i="7"/>
  <c r="D35" i="6"/>
  <c r="E12" i="7"/>
  <c r="D41" i="6"/>
  <c r="L9" i="6"/>
  <c r="M9" i="6" s="1"/>
  <c r="M87" i="2"/>
  <c r="K67" i="2"/>
  <c r="M13" i="2"/>
  <c r="M16" i="5" s="1"/>
  <c r="M11" i="2"/>
  <c r="M14" i="5" s="1"/>
  <c r="M85" i="2"/>
  <c r="K65" i="2"/>
  <c r="M10" i="6"/>
  <c r="M14" i="6"/>
  <c r="E14" i="7"/>
  <c r="D43" i="6"/>
  <c r="E8" i="7"/>
  <c r="D37" i="6"/>
  <c r="E10" i="7"/>
  <c r="D39" i="6"/>
  <c r="E9" i="7"/>
  <c r="D38" i="6"/>
  <c r="E11" i="7"/>
  <c r="D40" i="6"/>
  <c r="E7" i="7"/>
  <c r="D36" i="6"/>
  <c r="L8" i="6"/>
  <c r="M8" i="6" s="1"/>
  <c r="J75" i="2"/>
  <c r="M80" i="2"/>
  <c r="K60" i="2"/>
  <c r="J74" i="2"/>
  <c r="M6" i="2"/>
  <c r="M9" i="5" s="1"/>
  <c r="M84" i="2"/>
  <c r="K64" i="2"/>
  <c r="M10" i="2"/>
  <c r="M13" i="5" s="1"/>
  <c r="M88" i="2"/>
  <c r="K68" i="2"/>
  <c r="M14" i="2"/>
  <c r="M17" i="5" s="1"/>
  <c r="K66" i="2"/>
  <c r="M12" i="2"/>
  <c r="M15" i="5" s="1"/>
  <c r="M86" i="2"/>
  <c r="M11" i="6"/>
  <c r="M13" i="6"/>
  <c r="M7" i="6" l="1"/>
  <c r="F7" i="7" s="1"/>
  <c r="I7" i="7" s="1"/>
  <c r="M15" i="2"/>
  <c r="M18" i="5" s="1"/>
  <c r="M82" i="2"/>
  <c r="K69" i="2"/>
  <c r="M8" i="2"/>
  <c r="M11" i="5" s="1"/>
  <c r="J73" i="2"/>
  <c r="M6" i="6"/>
  <c r="F6" i="7" s="1"/>
  <c r="I6" i="7" s="1"/>
  <c r="N12" i="6"/>
  <c r="G12" i="7" s="1"/>
  <c r="N7" i="6"/>
  <c r="G7" i="7" s="1"/>
  <c r="N88" i="2"/>
  <c r="K14" i="3"/>
  <c r="H15" i="7"/>
  <c r="K15" i="7" s="1"/>
  <c r="O15" i="6"/>
  <c r="F10" i="7"/>
  <c r="I10" i="7" s="1"/>
  <c r="N10" i="6"/>
  <c r="H11" i="7"/>
  <c r="K11" i="7" s="1"/>
  <c r="O11" i="6"/>
  <c r="F9" i="7"/>
  <c r="I9" i="7" s="1"/>
  <c r="N9" i="6"/>
  <c r="K7" i="3"/>
  <c r="N81" i="2"/>
  <c r="K9" i="3"/>
  <c r="N83" i="2"/>
  <c r="O12" i="6"/>
  <c r="H12" i="7"/>
  <c r="K12" i="7" s="1"/>
  <c r="H6" i="7"/>
  <c r="O6" i="6"/>
  <c r="F13" i="7"/>
  <c r="I13" i="7" s="1"/>
  <c r="N13" i="6"/>
  <c r="H14" i="7"/>
  <c r="K14" i="7" s="1"/>
  <c r="O14" i="6"/>
  <c r="F8" i="7"/>
  <c r="I8" i="7" s="1"/>
  <c r="N8" i="6"/>
  <c r="N82" i="2"/>
  <c r="K8" i="3"/>
  <c r="H13" i="7"/>
  <c r="K13" i="7" s="1"/>
  <c r="O13" i="6"/>
  <c r="H7" i="7"/>
  <c r="K7" i="7" s="1"/>
  <c r="O7" i="6"/>
  <c r="N15" i="6"/>
  <c r="K15" i="3"/>
  <c r="N89" i="2"/>
  <c r="K11" i="3"/>
  <c r="N85" i="2"/>
  <c r="K13" i="3"/>
  <c r="N87" i="2"/>
  <c r="F11" i="7"/>
  <c r="I11" i="7" s="1"/>
  <c r="N11" i="6"/>
  <c r="H10" i="7"/>
  <c r="K10" i="7" s="1"/>
  <c r="O10" i="6"/>
  <c r="N86" i="2"/>
  <c r="K12" i="3"/>
  <c r="N84" i="2"/>
  <c r="K10" i="3"/>
  <c r="N80" i="2"/>
  <c r="K6" i="3"/>
  <c r="H8" i="7"/>
  <c r="K8" i="7" s="1"/>
  <c r="O8" i="6"/>
  <c r="F14" i="7"/>
  <c r="I14" i="7" s="1"/>
  <c r="N14" i="6"/>
  <c r="H9" i="7"/>
  <c r="K9" i="7" s="1"/>
  <c r="O9" i="6"/>
  <c r="E41" i="6" l="1"/>
  <c r="F41" i="6" s="1"/>
  <c r="G41" i="6" s="1"/>
  <c r="N6" i="6"/>
  <c r="G6" i="7" s="1"/>
  <c r="E36" i="6"/>
  <c r="F36" i="6" s="1"/>
  <c r="G36" i="6" s="1"/>
  <c r="J9" i="7"/>
  <c r="F55" i="3"/>
  <c r="E55" i="3"/>
  <c r="D55" i="3"/>
  <c r="D69" i="3"/>
  <c r="E41" i="3"/>
  <c r="G41" i="3" s="1"/>
  <c r="H55" i="3"/>
  <c r="F69" i="3" s="1"/>
  <c r="D41" i="3"/>
  <c r="G55" i="3"/>
  <c r="G15" i="7"/>
  <c r="E44" i="6"/>
  <c r="F44" i="6" s="1"/>
  <c r="G44" i="6" s="1"/>
  <c r="D64" i="3"/>
  <c r="F50" i="3"/>
  <c r="G50" i="3"/>
  <c r="E36" i="3"/>
  <c r="G36" i="3" s="1"/>
  <c r="E50" i="3"/>
  <c r="D50" i="3"/>
  <c r="D36" i="3"/>
  <c r="H50" i="3"/>
  <c r="F64" i="3" s="1"/>
  <c r="G9" i="7"/>
  <c r="E38" i="6"/>
  <c r="F38" i="6" s="1"/>
  <c r="G38" i="6" s="1"/>
  <c r="G10" i="7"/>
  <c r="E39" i="6"/>
  <c r="F39" i="6" s="1"/>
  <c r="G39" i="6" s="1"/>
  <c r="G14" i="7"/>
  <c r="E43" i="6"/>
  <c r="F43" i="6" s="1"/>
  <c r="G43" i="6" s="1"/>
  <c r="D62" i="3"/>
  <c r="E48" i="3"/>
  <c r="F41" i="3"/>
  <c r="F37" i="3"/>
  <c r="H48" i="3"/>
  <c r="F62" i="3" s="1"/>
  <c r="D48" i="3"/>
  <c r="F42" i="3"/>
  <c r="G48" i="3"/>
  <c r="F43" i="3"/>
  <c r="F39" i="3"/>
  <c r="F35" i="3"/>
  <c r="E34" i="3"/>
  <c r="G34" i="3" s="1"/>
  <c r="F48" i="3"/>
  <c r="F40" i="3"/>
  <c r="F36" i="3"/>
  <c r="D34" i="3"/>
  <c r="F38" i="3"/>
  <c r="F34" i="3"/>
  <c r="D68" i="3"/>
  <c r="F54" i="3"/>
  <c r="E54" i="3"/>
  <c r="D54" i="3"/>
  <c r="E40" i="3"/>
  <c r="G40" i="3" s="1"/>
  <c r="D40" i="3"/>
  <c r="H54" i="3"/>
  <c r="F68" i="3" s="1"/>
  <c r="G54" i="3"/>
  <c r="E21" i="7"/>
  <c r="D20" i="7"/>
  <c r="C19" i="7"/>
  <c r="D21" i="7"/>
  <c r="C20" i="7"/>
  <c r="C21" i="7"/>
  <c r="E19" i="7"/>
  <c r="K6" i="7"/>
  <c r="E20" i="7"/>
  <c r="D19" i="7"/>
  <c r="F51" i="3"/>
  <c r="E51" i="3"/>
  <c r="D51" i="3"/>
  <c r="H51" i="3"/>
  <c r="F65" i="3" s="1"/>
  <c r="D37" i="3"/>
  <c r="D65" i="3"/>
  <c r="G51" i="3"/>
  <c r="E37" i="3"/>
  <c r="G37" i="3" s="1"/>
  <c r="J10" i="7"/>
  <c r="J14" i="7"/>
  <c r="G11" i="7"/>
  <c r="E40" i="6"/>
  <c r="F40" i="6" s="1"/>
  <c r="G40" i="6" s="1"/>
  <c r="F53" i="3"/>
  <c r="D67" i="3"/>
  <c r="E53" i="3"/>
  <c r="D53" i="3"/>
  <c r="D39" i="3"/>
  <c r="H53" i="3"/>
  <c r="F67" i="3" s="1"/>
  <c r="G53" i="3"/>
  <c r="E39" i="3"/>
  <c r="G39" i="3" s="1"/>
  <c r="G8" i="7"/>
  <c r="E37" i="6"/>
  <c r="F37" i="6" s="1"/>
  <c r="G37" i="6" s="1"/>
  <c r="E42" i="6"/>
  <c r="F42" i="6" s="1"/>
  <c r="G42" i="6" s="1"/>
  <c r="G13" i="7"/>
  <c r="J12" i="7"/>
  <c r="F52" i="3"/>
  <c r="E52" i="3"/>
  <c r="D52" i="3"/>
  <c r="D66" i="3"/>
  <c r="H52" i="3"/>
  <c r="F66" i="3" s="1"/>
  <c r="E38" i="3"/>
  <c r="G38" i="3" s="1"/>
  <c r="G52" i="3"/>
  <c r="D38" i="3"/>
  <c r="J7" i="7"/>
  <c r="J11" i="7"/>
  <c r="J15" i="7"/>
  <c r="F57" i="3"/>
  <c r="D71" i="3"/>
  <c r="E57" i="3"/>
  <c r="D57" i="3"/>
  <c r="D43" i="3"/>
  <c r="H57" i="3"/>
  <c r="F71" i="3" s="1"/>
  <c r="G57" i="3"/>
  <c r="E43" i="3"/>
  <c r="G43" i="3" s="1"/>
  <c r="J8" i="7"/>
  <c r="J13" i="7"/>
  <c r="D63" i="3"/>
  <c r="E49" i="3"/>
  <c r="D35" i="3"/>
  <c r="H49" i="3"/>
  <c r="F63" i="3" s="1"/>
  <c r="D49" i="3"/>
  <c r="G49" i="3"/>
  <c r="E35" i="3"/>
  <c r="G35" i="3" s="1"/>
  <c r="F49" i="3"/>
  <c r="F56" i="3"/>
  <c r="E56" i="3"/>
  <c r="D70" i="3"/>
  <c r="D56" i="3"/>
  <c r="H56" i="3"/>
  <c r="F70" i="3" s="1"/>
  <c r="E42" i="3"/>
  <c r="G42" i="3" s="1"/>
  <c r="D42" i="3"/>
  <c r="G56" i="3"/>
  <c r="J6" i="7"/>
  <c r="E35" i="6" l="1"/>
  <c r="F35" i="6" s="1"/>
  <c r="G35" i="6" s="1"/>
  <c r="I49" i="3"/>
  <c r="I55" i="3"/>
  <c r="I50" i="3"/>
  <c r="H47" i="6"/>
  <c r="E64" i="3"/>
  <c r="H64" i="3" s="1"/>
  <c r="H36" i="3"/>
  <c r="E71" i="3"/>
  <c r="H71" i="3" s="1"/>
  <c r="H43" i="3"/>
  <c r="E65" i="3"/>
  <c r="H65" i="3" s="1"/>
  <c r="H37" i="3"/>
  <c r="E69" i="3"/>
  <c r="H69" i="3" s="1"/>
  <c r="H41" i="3"/>
  <c r="E66" i="3"/>
  <c r="H66" i="3" s="1"/>
  <c r="H38" i="3"/>
  <c r="E62" i="3"/>
  <c r="H62" i="3" s="1"/>
  <c r="H34" i="3"/>
  <c r="I56" i="3"/>
  <c r="I52" i="3"/>
  <c r="E67" i="3"/>
  <c r="H67" i="3" s="1"/>
  <c r="H39" i="3"/>
  <c r="G69" i="3"/>
  <c r="I53" i="3"/>
  <c r="I54" i="3"/>
  <c r="E63" i="3"/>
  <c r="H63" i="3" s="1"/>
  <c r="H35" i="3"/>
  <c r="E68" i="3"/>
  <c r="H68" i="3" s="1"/>
  <c r="H40" i="3"/>
  <c r="E70" i="3"/>
  <c r="H70" i="3" s="1"/>
  <c r="H42" i="3"/>
  <c r="I57" i="3"/>
  <c r="I51" i="3"/>
  <c r="I48" i="3"/>
  <c r="I64" i="3"/>
  <c r="J64" i="3" s="1"/>
  <c r="I69" i="3" l="1"/>
  <c r="J69" i="3" s="1"/>
  <c r="G66" i="3"/>
  <c r="G64" i="3"/>
  <c r="G63" i="3"/>
  <c r="I66" i="3"/>
  <c r="J66" i="3" s="1"/>
  <c r="I63" i="3"/>
  <c r="J63" i="3" s="1"/>
  <c r="I65" i="3"/>
  <c r="J65" i="3" s="1"/>
  <c r="G65" i="3"/>
  <c r="G71" i="3"/>
  <c r="G67" i="3"/>
  <c r="G62" i="3"/>
  <c r="I68" i="3"/>
  <c r="J68" i="3" s="1"/>
  <c r="G70" i="3"/>
  <c r="I71" i="3"/>
  <c r="J71" i="3" s="1"/>
  <c r="I67" i="3"/>
  <c r="J67" i="3" s="1"/>
  <c r="I62" i="3"/>
  <c r="G68" i="3"/>
  <c r="I70" i="3"/>
  <c r="J70" i="3" s="1"/>
  <c r="J62" i="3" l="1"/>
  <c r="I73" i="3"/>
  <c r="J73" i="3" l="1"/>
</calcChain>
</file>

<file path=xl/sharedStrings.xml><?xml version="1.0" encoding="utf-8"?>
<sst xmlns="http://schemas.openxmlformats.org/spreadsheetml/2006/main" count="364" uniqueCount="223">
  <si>
    <t>MODEL KONSEPTUAL EVALUASI KINERJA PERAWAT
Berbasis Klasterisasi &amp; Hybrid MCDM (AHP–WP–TOPSIS)</t>
  </si>
  <si>
    <t>Fatkhurrochman, S.Kom, M.Kom | 2026</t>
  </si>
  <si>
    <t>NAVIGASI SHEET</t>
  </si>
  <si>
    <t xml:space="preserve">  ▶  TAHAP 1 – K-MEANS</t>
  </si>
  <si>
    <t>Klasterisasi pola kinerja perawat (K-Means, k=3)</t>
  </si>
  <si>
    <t xml:space="preserve">  ▶  TAHAP 2 – AHP</t>
  </si>
  <si>
    <t>Pembobotan kriteria AHP + uji Consistency Ratio</t>
  </si>
  <si>
    <t xml:space="preserve">  ▶  TAHAP 3 – WP</t>
  </si>
  <si>
    <t>Agregasi nilai kinerja Weighted Product</t>
  </si>
  <si>
    <t xml:space="preserve">  ▶  TAHAP 4 – TOPSIS</t>
  </si>
  <si>
    <t>Validasi pemeringkatan TOPSIS</t>
  </si>
  <si>
    <t xml:space="preserve">  ▶  TAHAP 5 – MODEL</t>
  </si>
  <si>
    <t>Rekapitulasi final &amp; Model Konseptual</t>
  </si>
  <si>
    <t>TAHAP 1: KLASTERISASI POLA KINERJA PERAWAT (K-MEANS CLUSTERING)</t>
  </si>
  <si>
    <t>Algoritma K-Means  |  7 Kriteria (C1–C7)  |  k = 3 Klaster  |  10 Perawat  |  Silhouette Score ≥ 0.5</t>
  </si>
  <si>
    <t>A.  DATA KINERJA PERAWAT (Skala 1–10) — Input Hardcode pada C1–C7</t>
  </si>
  <si>
    <t>No</t>
  </si>
  <si>
    <t>Nama Perawat</t>
  </si>
  <si>
    <t>C1
Komp. Klinis</t>
  </si>
  <si>
    <t>C2
Profesionalisme</t>
  </si>
  <si>
    <t>C3
Kolaborasi Tim</t>
  </si>
  <si>
    <t>C4
Orientasi Hasil</t>
  </si>
  <si>
    <t>C5
Keselamatan</t>
  </si>
  <si>
    <t>C6
Mgmt Waktu</t>
  </si>
  <si>
    <t>C7
Komunikasi</t>
  </si>
  <si>
    <t>Total
Skor</t>
  </si>
  <si>
    <t>Rata-
rata</t>
  </si>
  <si>
    <t>Andi Setiawan</t>
  </si>
  <si>
    <t>Budi Santoso</t>
  </si>
  <si>
    <t>Citra Dewi</t>
  </si>
  <si>
    <t>Dian Pratiwi</t>
  </si>
  <si>
    <t>Eko Wahyudi</t>
  </si>
  <si>
    <t>Fitri Handayani</t>
  </si>
  <si>
    <t>Galih Nugroho</t>
  </si>
  <si>
    <t>Hana Putri</t>
  </si>
  <si>
    <t>Indra Kusuma</t>
  </si>
  <si>
    <t>Joko Purnomo</t>
  </si>
  <si>
    <t>B.  INISIALISASI CENTROID (Iterasi-0) — Dipilih dari Data (Metode: Random Seed)</t>
  </si>
  <si>
    <t>Klaster (Seed)</t>
  </si>
  <si>
    <t>C1</t>
  </si>
  <si>
    <t>C2</t>
  </si>
  <si>
    <t>C3</t>
  </si>
  <si>
    <t>C4</t>
  </si>
  <si>
    <t>C5</t>
  </si>
  <si>
    <t>C6</t>
  </si>
  <si>
    <t>C7</t>
  </si>
  <si>
    <t>Sumber Seed</t>
  </si>
  <si>
    <t>Keterangan</t>
  </si>
  <si>
    <t>K1 (seed)</t>
  </si>
  <si>
    <t>Citra Dewi (baris 3)</t>
  </si>
  <si>
    <t>Performa tinggi sebagai centroid awal K1</t>
  </si>
  <si>
    <t>K2 (seed)</t>
  </si>
  <si>
    <t>Eko Wahyudi (baris 5)</t>
  </si>
  <si>
    <t>Performa sedang sebagai centroid awal K2</t>
  </si>
  <si>
    <t>K3 (seed)</t>
  </si>
  <si>
    <t>Fitri Handayani (baris 6)</t>
  </si>
  <si>
    <t>Performa rendah sebagai centroid awal K3</t>
  </si>
  <si>
    <t>C.  PROSES ITERASI K-MEANS — Seluruh Iterasi Ditampilkan hingga Konvergen</t>
  </si>
  <si>
    <t>ITERASI 1 — Penugasan Klaster (menggunakan Centroid Inisialisasi / Seed)</t>
  </si>
  <si>
    <t>d²→K1</t>
  </si>
  <si>
    <t>d²→K2</t>
  </si>
  <si>
    <t>d²→K3</t>
  </si>
  <si>
    <t>D→K1</t>
  </si>
  <si>
    <t>D→K2</t>
  </si>
  <si>
    <t>D→K3</t>
  </si>
  <si>
    <t>Klaster
Terdekat</t>
  </si>
  <si>
    <t>UPDATE CENTROID — Setelah Iterasi 1  (Centroid baru = rata-rata nilai anggota klaster)</t>
  </si>
  <si>
    <t>Klaster</t>
  </si>
  <si>
    <t>Anggota (n)</t>
  </si>
  <si>
    <t>Formula Rata-rata</t>
  </si>
  <si>
    <t>K1</t>
  </si>
  <si>
    <t>Rata-rata C1..C7 anggota K1</t>
  </si>
  <si>
    <t>K2</t>
  </si>
  <si>
    <t>Rata-rata C1..C7 anggota K2</t>
  </si>
  <si>
    <t>K3</t>
  </si>
  <si>
    <t>Rata-rata C1..C7 anggota K3</t>
  </si>
  <si>
    <t>ITERASI 2 — Penugasan Klaster (menggunakan Centroid Update dari Iterasi 1)</t>
  </si>
  <si>
    <t>UPDATE CENTROID — Setelah Iterasi 2  (Centroid baru = rata-rata nilai anggota klaster)</t>
  </si>
  <si>
    <t>ITERASI 3 — Penugasan Klaster (menggunakan Centroid Update dari Iterasi 2) — CEK KONVERGENSI</t>
  </si>
  <si>
    <t>✔  KONVERGEN — Tidak ada perubahan klaster dari Iterasi 2 ke Iterasi 3  →  K-Means Selesai</t>
  </si>
  <si>
    <t>D.  CENTROID FINAL &amp; RINGKASAN KLASTER (Hasil Konvergensi Iterasi 2)</t>
  </si>
  <si>
    <t>Jumlah
Anggota</t>
  </si>
  <si>
    <t>Label Kinerja</t>
  </si>
  <si>
    <t>Kinerja TINGGI</t>
  </si>
  <si>
    <t>Kinerja SEDANG</t>
  </si>
  <si>
    <t>Kinerja RENDAH</t>
  </si>
  <si>
    <t>E.  HASIL AKHIR KLASTERISASI — Tabel Ringkasan Penugasan Klaster Final (Referensi ke Tahap Berikutnya)</t>
  </si>
  <si>
    <t>Total</t>
  </si>
  <si>
    <t>Rata-rata</t>
  </si>
  <si>
    <t>Klaster Final</t>
  </si>
  <si>
    <t>Label</t>
  </si>
  <si>
    <t>TAHAP 1D: PERHITUNGAN SILHOUETTE SCORE — VALIDASI KLASTERISASI K-MEANS</t>
  </si>
  <si>
    <t>s(i) = (b(i) − a(i)) / max(a(i), b(i))  |  S = (1/n)×Σs(i)  |  a(i) = avg jarak ke sesama klaster  |  b(i) = avg jarak ke klaster terdekat lainnya</t>
  </si>
  <si>
    <t>A.  DATA KINERJA &amp; KLASTER FINAL (referensi dari 'TAHAP 1 – K-MEANS')</t>
  </si>
  <si>
    <t>B.  MATRIKS JARAK EUCLIDEAN  dij = SQRT(Σ(Ck_i − Ck_j)²)  —  diagonal = 0</t>
  </si>
  <si>
    <t>Perawat</t>
  </si>
  <si>
    <t>Nama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</si>
  <si>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</si>
  <si>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</si>
  <si>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</si>
  <si>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</si>
  <si>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</si>
  <si>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</si>
  <si>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</si>
  <si>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</si>
  <si>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</si>
  <si>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</si>
  <si>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C.  a(i) — RATA-RATA JARAK KE ANGGOTA KLASTER SENDIRI</t>
  </si>
  <si>
    <t>n klaster</t>
  </si>
  <si>
    <t>Σ jarak sesama</t>
  </si>
  <si>
    <t>a(i)</t>
  </si>
  <si>
    <t>Interpretasi</t>
  </si>
  <si>
    <t>D.  b(i) — RATA-RATA JARAK KE KLASTER TERDEKAT LAINNYA  |  b(i) = MIN avg ke klaster lain</t>
  </si>
  <si>
    <t>avg→K1</t>
  </si>
  <si>
    <t>avg→K2</t>
  </si>
  <si>
    <t>avg→K3</t>
  </si>
  <si>
    <t>b(i)</t>
  </si>
  <si>
    <t>Klaster terdekat</t>
  </si>
  <si>
    <t>E.  s(i) PER PERAWAT DAN SILHOUETTE SCORE AKHIR  |  s(i) = (b(i) − a(i)) / MAX(a(i), b(i))</t>
  </si>
  <si>
    <t>a(i) kohesi</t>
  </si>
  <si>
    <t>b(i) separasi</t>
  </si>
  <si>
    <t>b−a</t>
  </si>
  <si>
    <t>MAX(a,b)</t>
  </si>
  <si>
    <t>s(i)</t>
  </si>
  <si>
    <t>Kualitas klaster</t>
  </si>
  <si>
    <t>SILHOUETTE SCORE RATA-RATA  S = (1/10) × Σ s(i)</t>
  </si>
  <si>
    <t>TAHAP 2: PEMBOBOTAN KRITERIA – ANALYTICAL HIERARCHY PROCESS (AHP)</t>
  </si>
  <si>
    <t>Pairwise Matrix = Input Pakar | Normalisasi &amp; CR = Formula Excel</t>
  </si>
  <si>
    <t>A. MATRIKS PERBANDINGAN BERPASANGAN — Input Pakar (Skala 1–9 Saaty)</t>
  </si>
  <si>
    <t>Kriteria / Kriteria</t>
  </si>
  <si>
    <t>C1: Komp. Klinis</t>
  </si>
  <si>
    <t>C2: Profesionalisme</t>
  </si>
  <si>
    <t>C3: Kolaborasi Tim</t>
  </si>
  <si>
    <t>C4: Orientasi Hasil</t>
  </si>
  <si>
    <t>C5: Keselamatan</t>
  </si>
  <si>
    <t>C6: Mgmt Waktu</t>
  </si>
  <si>
    <t>C7: Komunikasi</t>
  </si>
  <si>
    <t>JUMLAH KOLOM</t>
  </si>
  <si>
    <t>B. MATRIKS NORMALISASI (rij = xij / jumlah kolom-j) &amp; BOBOT PRIORITAS</t>
  </si>
  <si>
    <t>Kriteria</t>
  </si>
  <si>
    <t>Bobot (W)</t>
  </si>
  <si>
    <t>C. UJI KONSISTENSI (Consistency Ratio — CR &lt; 0.1)</t>
  </si>
  <si>
    <t>Weighted Sum Vector (WSV)</t>
  </si>
  <si>
    <t>Lambda Vector (λi = WSV / Wi)</t>
  </si>
  <si>
    <t>n (Jumlah Kriteria)</t>
  </si>
  <si>
    <t>7</t>
  </si>
  <si>
    <t>λmax = AVERAGE(λi)</t>
  </si>
  <si>
    <t>CI = (λmax − n) / (n−1)</t>
  </si>
  <si>
    <t>RI (n=7, tabel Saaty)</t>
  </si>
  <si>
    <t>CR = CI / RI</t>
  </si>
  <si>
    <t>Status Konsistensi</t>
  </si>
  <si>
    <t>TAHAP 3: AGREGASI NILAI KINERJA — WEIGHTED PRODUCT (WP)</t>
  </si>
  <si>
    <t>Formula: Si = ∏(Xij ^ Wj) | Bobot diambil dari Sheet AHP (formula referencing)</t>
  </si>
  <si>
    <t>A. BOBOT KRITERIA (Referensi dari Sheet TAHAP 2 – AHP)</t>
  </si>
  <si>
    <t>Kriteria/Perawat</t>
  </si>
  <si>
    <t>WP Score (Si)</t>
  </si>
  <si>
    <t>Rank WP</t>
  </si>
  <si>
    <t>B. DATA KINERJA &amp; PERHITUNGAN WP SCORE</t>
  </si>
  <si>
    <t>Catatan: Si dihitung via formula POWER non-linear. Rank via fungsi RANK(). Bobot = referensi AHP.</t>
  </si>
  <si>
    <t>TAHAP 4: VALIDASI PEMERINGKATAN — TOPSIS</t>
  </si>
  <si>
    <t>Semua langkah (normalisasi, pembobotan, D+, D−, Ci, Rank) = Formula Excel</t>
  </si>
  <si>
    <t>LANGKAH 1: NORMALISASI MATRIKS KEPUTUSAN  rij = xij / √(Σ xij²)</t>
  </si>
  <si>
    <t>r_C1</t>
  </si>
  <si>
    <t>r_C2</t>
  </si>
  <si>
    <t>r_C3</t>
  </si>
  <si>
    <t>r_C4</t>
  </si>
  <si>
    <t>r_C5</t>
  </si>
  <si>
    <t>r_C6</t>
  </si>
  <si>
    <t>r_C7</t>
  </si>
  <si>
    <t>D+ (Pos)</t>
  </si>
  <si>
    <t>D- (Neg)</t>
  </si>
  <si>
    <t>Ci (Kedekatan)</t>
  </si>
  <si>
    <t>Rank</t>
  </si>
  <si>
    <t>√(Σxij²) Pembagi</t>
  </si>
  <si>
    <t>LANGKAH 2: MATRIKS NORMALISASI TERBOBOT  vij = rij × Wj</t>
  </si>
  <si>
    <t>v_C1</t>
  </si>
  <si>
    <t>v_C2</t>
  </si>
  <si>
    <t>v_C3</t>
  </si>
  <si>
    <t>v_C4</t>
  </si>
  <si>
    <t>v_C5</t>
  </si>
  <si>
    <t>v_C6</t>
  </si>
  <si>
    <t>v_C7</t>
  </si>
  <si>
    <t>A+ (Ideal Positif)</t>
  </si>
  <si>
    <t>A− (Ideal Negatif)</t>
  </si>
  <si>
    <t>VALIDASI KESESUAIAN PERINGKAT WP vs TOPSIS</t>
  </si>
  <si>
    <t>Rank TOPSIS</t>
  </si>
  <si>
    <t>|ΔRank|</t>
  </si>
  <si>
    <t>Konsisten?</t>
  </si>
  <si>
    <t>Tingkat Kesesuaian WP–TOPSIS → (Formula) = COUNTIF(✔ YA)/10 × 100%</t>
  </si>
  <si>
    <t>TAHAP 5: MODEL KONSEPTUAL – REKAPITULASI EVALUASI KINERJA PERAWAT</t>
  </si>
  <si>
    <t>Seluruh data = referensi formula dari sheet sebelumnya | Integrasi K-Means+AHP+WP+TOPSIS</t>
  </si>
  <si>
    <t>REKAPITULASI FINAL: PEMERINGKATAN KINERJA PERAWAT</t>
  </si>
  <si>
    <t>WP Score</t>
  </si>
  <si>
    <t>TOPSIS Ci</t>
  </si>
  <si>
    <t>Rank Final (Avg)</t>
  </si>
  <si>
    <t>Rank Final</t>
  </si>
  <si>
    <t>Rekomendasi</t>
  </si>
  <si>
    <t>RINGKASAN PER KLASTER (Formula COUNTIF &amp; AVERAGEIF)</t>
  </si>
  <si>
    <t>Jumlah Perawat</t>
  </si>
  <si>
    <t>Rata-rata WP Score</t>
  </si>
  <si>
    <t>Rata-rata TOPSIS Ci</t>
  </si>
  <si>
    <t>Rekomendasi Manajerial</t>
  </si>
  <si>
    <t>"K1" – Kinerja TINGGI</t>
  </si>
  <si>
    <t>Prioritas promosi, berikan peran mentor dan pengembangan karir</t>
  </si>
  <si>
    <t>"K2" – Kinerja SEDANG</t>
  </si>
  <si>
    <t>Pelatihan targeted, monitoring berkala, reward berbasis capaian</t>
  </si>
  <si>
    <t>"K3" – Kinerja RENDAH</t>
  </si>
  <si>
    <t>Program pembinaan intensif, mentoring, review ulang beban kerja</t>
  </si>
  <si>
    <t>KERANGKA MODEL KONSEPTUAL EVALUASI KINERJA PERAWAT</t>
  </si>
  <si>
    <t>INPUT</t>
  </si>
  <si>
    <t>Data kinerja perawat multidimensi (7 kriteria, 10 perawat)</t>
  </si>
  <si>
    <t>PROSES 1</t>
  </si>
  <si>
    <t>K-Means Clustering → Segmentasi klaster kinerja (K1/K2/K3)</t>
  </si>
  <si>
    <t>PROSES 2</t>
  </si>
  <si>
    <t>AHP → Bobot prioritas kriteria, CR &lt; 0.1 (konsisten)</t>
  </si>
  <si>
    <t>PROSES 3</t>
  </si>
  <si>
    <t>Weighted Product (WP) → Skor preferensi Si = ∏(Xij^Wj)</t>
  </si>
  <si>
    <t>PROSES 4</t>
  </si>
  <si>
    <t>TOPSIS → Ci = D− / (D+ + D−), validasi silang ≥ 75%</t>
  </si>
  <si>
    <t>OUTPUT</t>
  </si>
  <si>
    <t>Pemeringkatan final + Label klaster kinerja</t>
  </si>
  <si>
    <t>KEPUTUSAN</t>
  </si>
  <si>
    <t>Rekomendasi manajerial: Promosi / Pertahankan / Pembinaan Intensif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</si>
</sst>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%"/>
  </numFmts>
  <fonts count="2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b/>
      <sz val="10"/>
      <color rgb="FF2E75B6"/>
      <name val="Arial"/>
      <family val="2"/>
    </font>
    <font>
      <sz val="10"/>
      <color rgb="FF000000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2"/>
      <color rgb="FFFFFFFF"/>
      <name val="Arial"/>
      <family val="2"/>
    </font>
    <font>
      <sz val="9"/>
      <color rgb="FF1F4E79"/>
      <name val="Arial"/>
      <family val="2"/>
    </font>
    <font>
      <b/>
      <sz val="9"/>
      <color rgb="FFFFFFFF"/>
      <name val="Arial"/>
      <family val="2"/>
    </font>
    <font>
      <b/>
      <sz val="10"/>
      <color rgb="FFC00000"/>
      <name val="Arial"/>
      <family val="2"/>
    </font>
    <font>
      <b/>
      <sz val="10"/>
      <name val="Arial"/>
      <family val="2"/>
    </font>
    <font>
      <b/>
      <sz val="9"/>
      <color rgb="FF375623"/>
      <name val="Arial"/>
      <family val="2"/>
    </font>
    <font>
      <b/>
      <sz val="11"/>
      <color rgb="FF375623"/>
      <name val="Arial"/>
      <family val="2"/>
    </font>
    <font>
      <sz val="10"/>
      <color rgb="FFFF0000"/>
      <name val="Arial"/>
      <family val="2"/>
      <charset val="1"/>
    </font>
    <font>
      <sz val="10"/>
      <name val="Arial"/>
      <family val="2"/>
    </font>
    <font>
      <sz val="9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2F5597"/>
      </patternFill>
    </fill>
    <fill>
      <patternFill patternType="solid">
        <fgColor rgb="FF2E75B6"/>
        <bgColor rgb="FF4472C4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333300"/>
      </patternFill>
    </fill>
    <fill>
      <patternFill patternType="solid">
        <fgColor rgb="FF2F5597"/>
        <bgColor rgb="FF1F4E79"/>
      </patternFill>
    </fill>
    <fill>
      <patternFill patternType="solid">
        <fgColor rgb="FF833C00"/>
        <bgColor rgb="FF993366"/>
      </patternFill>
    </fill>
    <fill>
      <patternFill patternType="solid">
        <fgColor rgb="FF4472C4"/>
        <bgColor rgb="FF2E75B6"/>
      </patternFill>
    </fill>
    <fill>
      <patternFill patternType="solid">
        <fgColor rgb="FFDEEAF1"/>
        <bgColor rgb="FFE2EFDA"/>
      </patternFill>
    </fill>
    <fill>
      <patternFill patternType="solid">
        <fgColor rgb="FFD9D9D9"/>
        <bgColor rgb="FFEAD1DC"/>
      </patternFill>
    </fill>
    <fill>
      <patternFill patternType="solid">
        <fgColor rgb="FFC00000"/>
        <bgColor rgb="FFFF0000"/>
      </patternFill>
    </fill>
    <fill>
      <patternFill patternType="solid">
        <fgColor rgb="FFEAD1DC"/>
        <bgColor rgb="FFD9D9D9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0" xfId="0" applyAlignment="1"/>
    <xf numFmtId="0" fontId="3" fillId="0" borderId="0" xfId="0" applyFont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1" fontId="5" fillId="5" borderId="4" xfId="0" applyNumberFormat="1" applyFont="1" applyFill="1" applyBorder="1" applyAlignment="1">
      <alignment horizontal="center" vertical="center" wrapText="1"/>
    </xf>
    <xf numFmtId="2" fontId="5" fillId="5" borderId="4" xfId="0" applyNumberFormat="1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1" fontId="5" fillId="6" borderId="4" xfId="0" applyNumberFormat="1" applyFont="1" applyFill="1" applyBorder="1" applyAlignment="1">
      <alignment horizontal="center" vertical="center" wrapText="1"/>
    </xf>
    <xf numFmtId="2" fontId="5" fillId="6" borderId="4" xfId="0" applyNumberFormat="1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/>
    </xf>
    <xf numFmtId="1" fontId="5" fillId="7" borderId="4" xfId="0" applyNumberFormat="1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horizontal="left" vertical="center"/>
    </xf>
    <xf numFmtId="1" fontId="5" fillId="8" borderId="4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left" vertical="center"/>
    </xf>
    <xf numFmtId="0" fontId="8" fillId="9" borderId="4" xfId="0" applyFont="1" applyFill="1" applyBorder="1" applyAlignment="1">
      <alignment horizontal="left" vertical="center"/>
    </xf>
    <xf numFmtId="1" fontId="5" fillId="9" borderId="4" xfId="0" applyNumberFormat="1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164" fontId="5" fillId="5" borderId="4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164" fontId="5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4" fontId="5" fillId="7" borderId="4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center" vertical="center" wrapText="1"/>
    </xf>
    <xf numFmtId="164" fontId="5" fillId="8" borderId="4" xfId="0" applyNumberFormat="1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left" vertical="center" wrapText="1"/>
    </xf>
    <xf numFmtId="0" fontId="8" fillId="9" borderId="4" xfId="0" applyFont="1" applyFill="1" applyBorder="1" applyAlignment="1">
      <alignment horizontal="center" vertical="center" wrapText="1"/>
    </xf>
    <xf numFmtId="164" fontId="5" fillId="9" borderId="4" xfId="0" applyNumberFormat="1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left" vertical="center" wrapText="1"/>
    </xf>
    <xf numFmtId="0" fontId="2" fillId="12" borderId="4" xfId="0" applyFont="1" applyFill="1" applyBorder="1" applyAlignment="1">
      <alignment horizontal="center" vertical="center" wrapText="1"/>
    </xf>
    <xf numFmtId="164" fontId="5" fillId="5" borderId="4" xfId="0" applyNumberFormat="1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left" vertical="center" wrapText="1"/>
    </xf>
    <xf numFmtId="164" fontId="5" fillId="6" borderId="4" xfId="0" applyNumberFormat="1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9" borderId="4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164" fontId="8" fillId="4" borderId="2" xfId="0" applyNumberFormat="1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164" fontId="5" fillId="7" borderId="2" xfId="0" applyNumberFormat="1" applyFont="1" applyFill="1" applyBorder="1" applyAlignment="1">
      <alignment horizontal="center" vertical="center" wrapText="1"/>
    </xf>
    <xf numFmtId="164" fontId="5" fillId="6" borderId="2" xfId="0" applyNumberFormat="1" applyFont="1" applyFill="1" applyBorder="1" applyAlignment="1">
      <alignment horizontal="center" vertical="center" wrapText="1"/>
    </xf>
    <xf numFmtId="164" fontId="13" fillId="8" borderId="2" xfId="0" applyNumberFormat="1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 wrapText="1"/>
    </xf>
    <xf numFmtId="1" fontId="8" fillId="5" borderId="2" xfId="0" applyNumberFormat="1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1" fontId="5" fillId="6" borderId="2" xfId="0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164" fontId="8" fillId="9" borderId="2" xfId="0" applyNumberFormat="1" applyFont="1" applyFill="1" applyBorder="1" applyAlignment="1">
      <alignment horizontal="center" vertical="center" wrapText="1"/>
    </xf>
    <xf numFmtId="164" fontId="8" fillId="7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165" fontId="16" fillId="0" borderId="2" xfId="0" applyNumberFormat="1" applyFont="1" applyBorder="1" applyAlignment="1">
      <alignment horizontal="center" vertical="center" wrapText="1"/>
    </xf>
    <xf numFmtId="164" fontId="17" fillId="6" borderId="2" xfId="0" applyNumberFormat="1" applyFont="1" applyFill="1" applyBorder="1" applyAlignment="1">
      <alignment horizontal="center" vertical="center" wrapText="1"/>
    </xf>
    <xf numFmtId="1" fontId="13" fillId="8" borderId="2" xfId="0" applyNumberFormat="1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left" vertical="center" wrapText="1"/>
    </xf>
    <xf numFmtId="0" fontId="18" fillId="6" borderId="2" xfId="0" applyFont="1" applyFill="1" applyBorder="1" applyAlignment="1">
      <alignment horizontal="left" vertical="center" wrapText="1"/>
    </xf>
    <xf numFmtId="1" fontId="5" fillId="7" borderId="2" xfId="0" applyNumberFormat="1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1" fontId="5" fillId="8" borderId="2" xfId="0" applyNumberFormat="1" applyFont="1" applyFill="1" applyBorder="1" applyAlignment="1">
      <alignment horizontal="center" vertical="center" wrapText="1"/>
    </xf>
    <xf numFmtId="164" fontId="5" fillId="8" borderId="2" xfId="0" applyNumberFormat="1" applyFont="1" applyFill="1" applyBorder="1" applyAlignment="1">
      <alignment horizontal="center" vertical="center" wrapText="1"/>
    </xf>
    <xf numFmtId="1" fontId="5" fillId="9" borderId="2" xfId="0" applyNumberFormat="1" applyFont="1" applyFill="1" applyBorder="1" applyAlignment="1">
      <alignment horizontal="center" vertical="center" wrapText="1"/>
    </xf>
    <xf numFmtId="164" fontId="5" fillId="9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" fontId="5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left" vertical="center" wrapText="1"/>
    </xf>
    <xf numFmtId="0" fontId="2" fillId="12" borderId="3" xfId="0" applyFont="1" applyFill="1" applyBorder="1" applyAlignment="1">
      <alignment horizontal="left" vertical="center" wrapText="1"/>
    </xf>
    <xf numFmtId="0" fontId="2" fillId="13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164" fontId="14" fillId="8" borderId="2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9" fillId="17" borderId="2" xfId="0" applyFont="1" applyFill="1" applyBorder="1" applyAlignment="1">
      <alignment horizontal="left" vertical="center" wrapText="1"/>
    </xf>
    <xf numFmtId="0" fontId="19" fillId="7" borderId="2" xfId="0" applyFont="1" applyFill="1" applyBorder="1" applyAlignment="1">
      <alignment horizontal="left" vertical="center" wrapText="1"/>
    </xf>
    <xf numFmtId="0" fontId="19" fillId="8" borderId="2" xfId="0" applyFont="1" applyFill="1" applyBorder="1" applyAlignment="1">
      <alignment horizontal="left" vertical="center" wrapText="1"/>
    </xf>
    <xf numFmtId="0" fontId="19" fillId="9" borderId="2" xfId="0" applyFont="1" applyFill="1" applyBorder="1" applyAlignment="1">
      <alignment horizontal="left" vertical="center" wrapText="1"/>
    </xf>
    <xf numFmtId="0" fontId="19" fillId="4" borderId="2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1" fontId="5" fillId="5" borderId="2" xfId="0" applyNumberFormat="1" applyFont="1" applyFill="1" applyBorder="1" applyAlignment="1">
      <alignment horizontal="center" vertical="center"/>
    </xf>
    <xf numFmtId="164" fontId="13" fillId="8" borderId="2" xfId="0" applyNumberFormat="1" applyFont="1" applyFill="1" applyBorder="1" applyAlignment="1">
      <alignment horizontal="center" vertical="center"/>
    </xf>
    <xf numFmtId="1" fontId="8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1" fontId="5" fillId="6" borderId="2" xfId="0" applyNumberFormat="1" applyFont="1" applyFill="1" applyBorder="1" applyAlignment="1">
      <alignment horizontal="center" vertical="center"/>
    </xf>
    <xf numFmtId="1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D9D9D9"/>
      <rgbColor rgb="FFFF99CC"/>
      <rgbColor rgb="FFCC99FF"/>
      <rgbColor rgb="FFEAD1DC"/>
      <rgbColor rgb="FF4472C4"/>
      <rgbColor rgb="FF33CCCC"/>
      <rgbColor rgb="FF99CC00"/>
      <rgbColor rgb="FFFFCC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833C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"/>
  <sheetViews>
    <sheetView showGridLines="0" zoomScaleNormal="100" workbookViewId="0">
      <selection activeCell="B3" sqref="B3:D3"/>
    </sheetView>
  </sheetViews>
  <sheetFormatPr defaultColWidth="8.7109375" defaultRowHeight="15" x14ac:dyDescent="0.25"/>
  <cols>
    <col min="1" max="1" width="5" style="1" customWidth="1"/>
    <col min="2" max="2" width="20" style="1" customWidth="1"/>
    <col min="3" max="3" width="45" style="1" customWidth="1"/>
    <col min="4" max="4" width="20" style="1" customWidth="1"/>
  </cols>
  <sheetData>
    <row r="2" spans="2:4" ht="54.75" customHeight="1" x14ac:dyDescent="0.25">
      <c r="B2" s="114" t="s">
        <v>0</v>
      </c>
      <c r="C2" s="114"/>
      <c r="D2" s="114"/>
    </row>
    <row r="3" spans="2:4" ht="15" customHeight="1" x14ac:dyDescent="0.25">
      <c r="B3" s="115" t="s">
        <v>1</v>
      </c>
      <c r="C3" s="115"/>
      <c r="D3" s="115"/>
    </row>
    <row r="5" spans="2:4" ht="15" customHeight="1" x14ac:dyDescent="0.25">
      <c r="B5" s="2" t="s">
        <v>2</v>
      </c>
    </row>
    <row r="6" spans="2:4" ht="21.75" customHeight="1" x14ac:dyDescent="0.25">
      <c r="B6" s="3" t="s">
        <v>3</v>
      </c>
      <c r="C6" s="113" t="s">
        <v>4</v>
      </c>
      <c r="D6" s="113"/>
    </row>
    <row r="7" spans="2:4" ht="21.75" customHeight="1" x14ac:dyDescent="0.25">
      <c r="B7" s="3" t="s">
        <v>5</v>
      </c>
      <c r="C7" s="113" t="s">
        <v>6</v>
      </c>
      <c r="D7" s="113"/>
    </row>
    <row r="8" spans="2:4" ht="21.75" customHeight="1" x14ac:dyDescent="0.25">
      <c r="B8" s="3" t="s">
        <v>7</v>
      </c>
      <c r="C8" s="113" t="s">
        <v>8</v>
      </c>
      <c r="D8" s="113"/>
    </row>
    <row r="9" spans="2:4" ht="21.75" customHeight="1" x14ac:dyDescent="0.25">
      <c r="B9" s="3" t="s">
        <v>9</v>
      </c>
      <c r="C9" s="113" t="s">
        <v>10</v>
      </c>
      <c r="D9" s="113"/>
    </row>
    <row r="10" spans="2:4" ht="21.75" customHeight="1" x14ac:dyDescent="0.25">
      <c r="B10" s="3" t="s">
        <v>11</v>
      </c>
      <c r="C10" s="113" t="s">
        <v>12</v>
      </c>
      <c r="D10" s="113"/>
    </row>
  </sheetData>
  <mergeCells count="7">
    <mergeCell ref="C9:D9"/>
    <mergeCell ref="C10:D10"/>
    <mergeCell ref="B2:D2"/>
    <mergeCell ref="B3:D3"/>
    <mergeCell ref="C6:D6"/>
    <mergeCell ref="C7:D7"/>
    <mergeCell ref="C8:D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"/>
  <sheetViews>
    <sheetView zoomScaleNormal="100" workbookViewId="0">
      <selection activeCell="E81" sqref="E81"/>
    </sheetView>
  </sheetViews>
  <sheetFormatPr defaultColWidth="8.7109375" defaultRowHeight="15" x14ac:dyDescent="0.25"/>
  <cols>
    <col min="1" max="1" width="4" style="1" customWidth="1"/>
    <col min="2" max="2" width="9.28515625" style="1" customWidth="1"/>
    <col min="3" max="3" width="18" style="1" customWidth="1"/>
    <col min="4" max="10" width="9" style="1" customWidth="1"/>
    <col min="11" max="11" width="37.140625" style="1" customWidth="1"/>
    <col min="12" max="13" width="11" style="1" customWidth="1"/>
    <col min="14" max="16" width="10" style="1" customWidth="1"/>
    <col min="17" max="18" width="12" style="1" customWidth="1"/>
  </cols>
  <sheetData>
    <row r="1" spans="2:18" ht="16.5" customHeight="1" x14ac:dyDescent="0.25">
      <c r="B1" s="123" t="s">
        <v>13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</row>
    <row r="2" spans="2:18" ht="15" customHeight="1" x14ac:dyDescent="0.25">
      <c r="B2" s="124" t="s">
        <v>14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4" spans="2:18" ht="15" customHeight="1" x14ac:dyDescent="0.25">
      <c r="B4" s="117" t="s">
        <v>15</v>
      </c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</row>
    <row r="5" spans="2:18" ht="38.25" customHeight="1" x14ac:dyDescent="0.25"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2:18" ht="15" customHeight="1" x14ac:dyDescent="0.25">
      <c r="B6" s="6">
        <v>1</v>
      </c>
      <c r="C6" s="7" t="s">
        <v>27</v>
      </c>
      <c r="D6" s="8">
        <v>8</v>
      </c>
      <c r="E6" s="8">
        <v>7</v>
      </c>
      <c r="F6" s="8">
        <v>9</v>
      </c>
      <c r="G6" s="8">
        <v>8</v>
      </c>
      <c r="H6" s="8">
        <v>9</v>
      </c>
      <c r="I6" s="8">
        <v>7</v>
      </c>
      <c r="J6" s="8">
        <v>8</v>
      </c>
      <c r="K6" s="8">
        <f t="shared" ref="K6:K15" si="0">SUM(D6:J6)</f>
        <v>56</v>
      </c>
      <c r="L6" s="9">
        <f t="shared" ref="L6:L15" si="1">AVERAGE(D6:J6)</f>
        <v>8</v>
      </c>
      <c r="M6" s="1" t="str">
        <f t="shared" ref="M6:M15" si="2">J60</f>
        <v>K1</v>
      </c>
    </row>
    <row r="7" spans="2:18" ht="15" customHeight="1" x14ac:dyDescent="0.25">
      <c r="B7" s="10">
        <v>2</v>
      </c>
      <c r="C7" s="11" t="s">
        <v>28</v>
      </c>
      <c r="D7" s="12">
        <v>5</v>
      </c>
      <c r="E7" s="12">
        <v>6</v>
      </c>
      <c r="F7" s="12">
        <v>5</v>
      </c>
      <c r="G7" s="12">
        <v>6</v>
      </c>
      <c r="H7" s="12">
        <v>5</v>
      </c>
      <c r="I7" s="12">
        <v>6</v>
      </c>
      <c r="J7" s="12">
        <v>5</v>
      </c>
      <c r="K7" s="12">
        <f t="shared" si="0"/>
        <v>38</v>
      </c>
      <c r="L7" s="13">
        <f t="shared" si="1"/>
        <v>5.4285714285714288</v>
      </c>
      <c r="M7" s="1" t="str">
        <f t="shared" si="2"/>
        <v>K3</v>
      </c>
    </row>
    <row r="8" spans="2:18" ht="15" customHeight="1" x14ac:dyDescent="0.25">
      <c r="B8" s="6">
        <v>3</v>
      </c>
      <c r="C8" s="7" t="s">
        <v>29</v>
      </c>
      <c r="D8" s="8">
        <v>9</v>
      </c>
      <c r="E8" s="8">
        <v>9</v>
      </c>
      <c r="F8" s="8">
        <v>8</v>
      </c>
      <c r="G8" s="8">
        <v>9</v>
      </c>
      <c r="H8" s="8">
        <v>9</v>
      </c>
      <c r="I8" s="8">
        <v>8</v>
      </c>
      <c r="J8" s="8">
        <v>9</v>
      </c>
      <c r="K8" s="8">
        <f t="shared" si="0"/>
        <v>61</v>
      </c>
      <c r="L8" s="9">
        <f t="shared" si="1"/>
        <v>8.7142857142857135</v>
      </c>
      <c r="M8" s="1" t="str">
        <f t="shared" si="2"/>
        <v>K1</v>
      </c>
    </row>
    <row r="9" spans="2:18" ht="15" customHeight="1" x14ac:dyDescent="0.25">
      <c r="B9" s="10">
        <v>4</v>
      </c>
      <c r="C9" s="11" t="s">
        <v>30</v>
      </c>
      <c r="D9" s="12">
        <v>6</v>
      </c>
      <c r="E9" s="12">
        <v>5</v>
      </c>
      <c r="F9" s="12">
        <v>6</v>
      </c>
      <c r="G9" s="12">
        <v>5</v>
      </c>
      <c r="H9" s="12">
        <v>6</v>
      </c>
      <c r="I9" s="12">
        <v>5</v>
      </c>
      <c r="J9" s="12">
        <v>6</v>
      </c>
      <c r="K9" s="12">
        <f t="shared" si="0"/>
        <v>39</v>
      </c>
      <c r="L9" s="13">
        <f t="shared" si="1"/>
        <v>5.5714285714285712</v>
      </c>
      <c r="M9" s="1" t="str">
        <f t="shared" si="2"/>
        <v>K3</v>
      </c>
    </row>
    <row r="10" spans="2:18" ht="15" customHeight="1" x14ac:dyDescent="0.25">
      <c r="B10" s="6">
        <v>5</v>
      </c>
      <c r="C10" s="7" t="s">
        <v>31</v>
      </c>
      <c r="D10" s="8">
        <v>7</v>
      </c>
      <c r="E10" s="8">
        <v>8</v>
      </c>
      <c r="F10" s="8">
        <v>7</v>
      </c>
      <c r="G10" s="8">
        <v>8</v>
      </c>
      <c r="H10" s="8">
        <v>7</v>
      </c>
      <c r="I10" s="8">
        <v>8</v>
      </c>
      <c r="J10" s="8">
        <v>7</v>
      </c>
      <c r="K10" s="8">
        <f t="shared" si="0"/>
        <v>52</v>
      </c>
      <c r="L10" s="9">
        <f t="shared" si="1"/>
        <v>7.4285714285714288</v>
      </c>
      <c r="M10" s="1" t="str">
        <f t="shared" si="2"/>
        <v>K2</v>
      </c>
    </row>
    <row r="11" spans="2:18" ht="15" customHeight="1" x14ac:dyDescent="0.25">
      <c r="B11" s="10">
        <v>6</v>
      </c>
      <c r="C11" s="11" t="s">
        <v>32</v>
      </c>
      <c r="D11" s="12">
        <v>4</v>
      </c>
      <c r="E11" s="12">
        <v>5</v>
      </c>
      <c r="F11" s="12">
        <v>4</v>
      </c>
      <c r="G11" s="12">
        <v>5</v>
      </c>
      <c r="H11" s="12">
        <v>4</v>
      </c>
      <c r="I11" s="12">
        <v>5</v>
      </c>
      <c r="J11" s="12">
        <v>4</v>
      </c>
      <c r="K11" s="12">
        <f t="shared" si="0"/>
        <v>31</v>
      </c>
      <c r="L11" s="13">
        <f t="shared" si="1"/>
        <v>4.4285714285714288</v>
      </c>
      <c r="M11" s="1" t="str">
        <f t="shared" si="2"/>
        <v>K3</v>
      </c>
    </row>
    <row r="12" spans="2:18" ht="15" customHeight="1" x14ac:dyDescent="0.25">
      <c r="B12" s="6">
        <v>7</v>
      </c>
      <c r="C12" s="7" t="s">
        <v>33</v>
      </c>
      <c r="D12" s="8">
        <v>9</v>
      </c>
      <c r="E12" s="8">
        <v>8</v>
      </c>
      <c r="F12" s="8">
        <v>9</v>
      </c>
      <c r="G12" s="8">
        <v>9</v>
      </c>
      <c r="H12" s="8">
        <v>8</v>
      </c>
      <c r="I12" s="8">
        <v>9</v>
      </c>
      <c r="J12" s="8">
        <v>8</v>
      </c>
      <c r="K12" s="8">
        <f t="shared" si="0"/>
        <v>60</v>
      </c>
      <c r="L12" s="9">
        <f t="shared" si="1"/>
        <v>8.5714285714285712</v>
      </c>
      <c r="M12" s="1" t="str">
        <f t="shared" si="2"/>
        <v>K1</v>
      </c>
    </row>
    <row r="13" spans="2:18" ht="15" customHeight="1" x14ac:dyDescent="0.25">
      <c r="B13" s="10">
        <v>8</v>
      </c>
      <c r="C13" s="11" t="s">
        <v>34</v>
      </c>
      <c r="D13" s="12">
        <v>6</v>
      </c>
      <c r="E13" s="12">
        <v>6</v>
      </c>
      <c r="F13" s="12">
        <v>7</v>
      </c>
      <c r="G13" s="12">
        <v>6</v>
      </c>
      <c r="H13" s="12">
        <v>7</v>
      </c>
      <c r="I13" s="12">
        <v>6</v>
      </c>
      <c r="J13" s="12">
        <v>7</v>
      </c>
      <c r="K13" s="12">
        <f t="shared" si="0"/>
        <v>45</v>
      </c>
      <c r="L13" s="13">
        <f t="shared" si="1"/>
        <v>6.4285714285714288</v>
      </c>
      <c r="M13" s="1" t="str">
        <f t="shared" si="2"/>
        <v>K2</v>
      </c>
    </row>
    <row r="14" spans="2:18" ht="15" customHeight="1" x14ac:dyDescent="0.25">
      <c r="B14" s="6">
        <v>9</v>
      </c>
      <c r="C14" s="7" t="s">
        <v>35</v>
      </c>
      <c r="D14" s="8">
        <v>8</v>
      </c>
      <c r="E14" s="8">
        <v>9</v>
      </c>
      <c r="F14" s="8">
        <v>8</v>
      </c>
      <c r="G14" s="8">
        <v>8</v>
      </c>
      <c r="H14" s="8">
        <v>9</v>
      </c>
      <c r="I14" s="8">
        <v>9</v>
      </c>
      <c r="J14" s="8">
        <v>8</v>
      </c>
      <c r="K14" s="8">
        <f t="shared" si="0"/>
        <v>59</v>
      </c>
      <c r="L14" s="9">
        <f t="shared" si="1"/>
        <v>8.4285714285714288</v>
      </c>
      <c r="M14" s="1" t="str">
        <f t="shared" si="2"/>
        <v>K1</v>
      </c>
    </row>
    <row r="15" spans="2:18" ht="15" customHeight="1" x14ac:dyDescent="0.25">
      <c r="B15" s="10">
        <v>10</v>
      </c>
      <c r="C15" s="11" t="s">
        <v>36</v>
      </c>
      <c r="D15" s="12">
        <v>5</v>
      </c>
      <c r="E15" s="12">
        <v>4</v>
      </c>
      <c r="F15" s="12">
        <v>5</v>
      </c>
      <c r="G15" s="12">
        <v>4</v>
      </c>
      <c r="H15" s="12">
        <v>5</v>
      </c>
      <c r="I15" s="12">
        <v>4</v>
      </c>
      <c r="J15" s="12">
        <v>5</v>
      </c>
      <c r="K15" s="12">
        <f t="shared" si="0"/>
        <v>32</v>
      </c>
      <c r="L15" s="13">
        <f t="shared" si="1"/>
        <v>4.5714285714285712</v>
      </c>
      <c r="M15" s="1" t="str">
        <f t="shared" si="2"/>
        <v>K3</v>
      </c>
    </row>
    <row r="17" spans="2:18" ht="15" customHeight="1" x14ac:dyDescent="0.25">
      <c r="B17" s="117" t="s">
        <v>37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</row>
    <row r="18" spans="2:18" ht="51" customHeight="1" x14ac:dyDescent="0.25">
      <c r="B18" s="5" t="s">
        <v>38</v>
      </c>
      <c r="C18" s="5" t="s">
        <v>39</v>
      </c>
      <c r="D18" s="5" t="s">
        <v>40</v>
      </c>
      <c r="E18" s="5" t="s">
        <v>41</v>
      </c>
      <c r="F18" s="5" t="s">
        <v>42</v>
      </c>
      <c r="G18" s="5" t="s">
        <v>43</v>
      </c>
      <c r="H18" s="5" t="s">
        <v>44</v>
      </c>
      <c r="I18" s="5" t="s">
        <v>45</v>
      </c>
      <c r="J18" s="5" t="s">
        <v>46</v>
      </c>
      <c r="K18" s="5" t="s">
        <v>47</v>
      </c>
    </row>
    <row r="19" spans="2:18" ht="15" customHeight="1" x14ac:dyDescent="0.25">
      <c r="B19" s="14" t="s">
        <v>48</v>
      </c>
      <c r="C19" s="15">
        <v>9</v>
      </c>
      <c r="D19" s="15">
        <v>9</v>
      </c>
      <c r="E19" s="15">
        <v>8</v>
      </c>
      <c r="F19" s="15">
        <v>9</v>
      </c>
      <c r="G19" s="15">
        <v>9</v>
      </c>
      <c r="H19" s="15">
        <v>8</v>
      </c>
      <c r="I19" s="15">
        <v>9</v>
      </c>
      <c r="J19" s="16" t="s">
        <v>49</v>
      </c>
      <c r="K19" s="16" t="s">
        <v>50</v>
      </c>
    </row>
    <row r="20" spans="2:18" ht="15" customHeight="1" x14ac:dyDescent="0.25">
      <c r="B20" s="17" t="s">
        <v>51</v>
      </c>
      <c r="C20" s="18">
        <v>7</v>
      </c>
      <c r="D20" s="18">
        <v>8</v>
      </c>
      <c r="E20" s="18">
        <v>7</v>
      </c>
      <c r="F20" s="18">
        <v>8</v>
      </c>
      <c r="G20" s="18">
        <v>7</v>
      </c>
      <c r="H20" s="18">
        <v>8</v>
      </c>
      <c r="I20" s="18">
        <v>7</v>
      </c>
      <c r="J20" s="19" t="s">
        <v>52</v>
      </c>
      <c r="K20" s="19" t="s">
        <v>53</v>
      </c>
    </row>
    <row r="21" spans="2:18" ht="15" customHeight="1" x14ac:dyDescent="0.25">
      <c r="B21" s="20" t="s">
        <v>54</v>
      </c>
      <c r="C21" s="21">
        <v>4</v>
      </c>
      <c r="D21" s="21">
        <v>5</v>
      </c>
      <c r="E21" s="21">
        <v>4</v>
      </c>
      <c r="F21" s="21">
        <v>5</v>
      </c>
      <c r="G21" s="21">
        <v>4</v>
      </c>
      <c r="H21" s="21">
        <v>5</v>
      </c>
      <c r="I21" s="21">
        <v>4</v>
      </c>
      <c r="J21" s="22" t="s">
        <v>55</v>
      </c>
      <c r="K21" s="22" t="s">
        <v>56</v>
      </c>
    </row>
    <row r="23" spans="2:18" ht="15" customHeight="1" x14ac:dyDescent="0.25">
      <c r="B23" s="125" t="s">
        <v>57</v>
      </c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</row>
    <row r="24" spans="2:18" ht="15" customHeight="1" x14ac:dyDescent="0.25">
      <c r="B24" s="119" t="s">
        <v>58</v>
      </c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ht="15" customHeight="1" x14ac:dyDescent="0.25">
      <c r="B25" s="23" t="s">
        <v>16</v>
      </c>
      <c r="C25" s="23" t="s">
        <v>17</v>
      </c>
      <c r="D25" s="23" t="s">
        <v>59</v>
      </c>
      <c r="E25" s="23" t="s">
        <v>60</v>
      </c>
      <c r="F25" s="23" t="s">
        <v>61</v>
      </c>
      <c r="G25" s="23" t="s">
        <v>62</v>
      </c>
      <c r="H25" s="23" t="s">
        <v>63</v>
      </c>
      <c r="I25" s="23" t="s">
        <v>64</v>
      </c>
      <c r="J25" s="24" t="s">
        <v>65</v>
      </c>
      <c r="K25" s="23" t="s">
        <v>47</v>
      </c>
    </row>
    <row r="26" spans="2:18" ht="15" customHeight="1" x14ac:dyDescent="0.25">
      <c r="B26" s="25">
        <v>1</v>
      </c>
      <c r="C26" s="26" t="str">
        <f t="shared" ref="C26:C35" si="3">C6</f>
        <v>Andi Setiawan</v>
      </c>
      <c r="D26" s="27">
        <f>(D6-C19)^2+(E6-D19)^2+(F6-E19)^2+(G6-F19)^2+(H6-G19)^2+(I6-H19)^2+(J6-I19)^2</f>
        <v>9</v>
      </c>
      <c r="E26" s="27">
        <f>(D6-C20)^2+(E6-D20)^2+(F6-E20)^2+(G6-F20)^2+(H6-G20)^2+(I6-H20)^2+(J6-I20)^2</f>
        <v>12</v>
      </c>
      <c r="F26" s="27">
        <f>(D6-C21)^2+(E6-D21)^2+(F6-E21)^2+(G6-F21)^2+(H6-G21)^2+(I6-H21)^2+(J6-I21)^2</f>
        <v>99</v>
      </c>
      <c r="G26" s="27">
        <f t="shared" ref="G26:G35" si="4">SQRT(D26)</f>
        <v>3</v>
      </c>
      <c r="H26" s="27">
        <f t="shared" ref="H26:H35" si="5">SQRT(E26)</f>
        <v>3.4641016151377544</v>
      </c>
      <c r="I26" s="27">
        <f t="shared" ref="I26:I35" si="6">SQRT(F26)</f>
        <v>9.9498743710661994</v>
      </c>
      <c r="J26" s="28" t="str">
        <f t="shared" ref="J26:J35" si="7">IF(AND(G26&lt;=H26,G26&lt;=I26),"K1",IF(H26&lt;=I26,"K2","K3"))</f>
        <v>K1</v>
      </c>
      <c r="K26" s="29" t="str">
        <f t="shared" ref="K26:K35" si="8">IF(J26="K1","Dekat K1 (Tinggi)",IF(J26="K2","Dekat K2 (Sedang)","Dekat K3 (Rendah)"))</f>
        <v>Dekat K1 (Tinggi)</v>
      </c>
    </row>
    <row r="27" spans="2:18" ht="15" customHeight="1" x14ac:dyDescent="0.25">
      <c r="B27" s="30">
        <v>2</v>
      </c>
      <c r="C27" s="31" t="str">
        <f t="shared" si="3"/>
        <v>Budi Santoso</v>
      </c>
      <c r="D27" s="32">
        <f>(D7-C19)^2+(E7-D19)^2+(F7-E19)^2+(G7-F19)^2+(H7-G19)^2+(I7-H19)^2+(J7-I19)^2</f>
        <v>79</v>
      </c>
      <c r="E27" s="32">
        <f>(D7-C20)^2+(E7-D20)^2+(F7-E20)^2+(G7-F20)^2+(H7-G20)^2+(I7-H20)^2+(J7-I20)^2</f>
        <v>28</v>
      </c>
      <c r="F27" s="32">
        <f>(D7-C21)^2+(E7-D21)^2+(F7-E21)^2+(G7-F21)^2+(H7-G21)^2+(I7-H21)^2+(J7-I21)^2</f>
        <v>7</v>
      </c>
      <c r="G27" s="32">
        <f t="shared" si="4"/>
        <v>8.8881944173155887</v>
      </c>
      <c r="H27" s="32">
        <f t="shared" si="5"/>
        <v>5.2915026221291814</v>
      </c>
      <c r="I27" s="32">
        <f t="shared" si="6"/>
        <v>2.6457513110645907</v>
      </c>
      <c r="J27" s="33" t="str">
        <f t="shared" si="7"/>
        <v>K3</v>
      </c>
      <c r="K27" s="34" t="str">
        <f t="shared" si="8"/>
        <v>Dekat K3 (Rendah)</v>
      </c>
    </row>
    <row r="28" spans="2:18" ht="15" customHeight="1" x14ac:dyDescent="0.25">
      <c r="B28" s="25">
        <v>3</v>
      </c>
      <c r="C28" s="26" t="str">
        <f t="shared" si="3"/>
        <v>Citra Dewi</v>
      </c>
      <c r="D28" s="27">
        <f>(D8-C19)^2+(E8-D19)^2+(F8-E19)^2+(G8-F19)^2+(H8-G19)^2+(I8-H19)^2+(J8-I19)^2</f>
        <v>0</v>
      </c>
      <c r="E28" s="27">
        <f>(D8-C20)^2+(E8-D20)^2+(F8-E20)^2+(G8-F20)^2+(H8-G20)^2+(I8-H20)^2+(J8-I20)^2</f>
        <v>15</v>
      </c>
      <c r="F28" s="27">
        <f>(D8-C21)^2+(E8-D21)^2+(F8-E21)^2+(G8-F21)^2+(H8-G21)^2+(I8-H21)^2+(J8-I21)^2</f>
        <v>132</v>
      </c>
      <c r="G28" s="27">
        <f t="shared" si="4"/>
        <v>0</v>
      </c>
      <c r="H28" s="27">
        <f t="shared" si="5"/>
        <v>3.872983346207417</v>
      </c>
      <c r="I28" s="27">
        <f t="shared" si="6"/>
        <v>11.489125293076057</v>
      </c>
      <c r="J28" s="28" t="str">
        <f t="shared" si="7"/>
        <v>K1</v>
      </c>
      <c r="K28" s="29" t="str">
        <f t="shared" si="8"/>
        <v>Dekat K1 (Tinggi)</v>
      </c>
    </row>
    <row r="29" spans="2:18" ht="15" customHeight="1" x14ac:dyDescent="0.25">
      <c r="B29" s="30">
        <v>4</v>
      </c>
      <c r="C29" s="31" t="str">
        <f t="shared" si="3"/>
        <v>Dian Pratiwi</v>
      </c>
      <c r="D29" s="32">
        <f>(D9-C19)^2+(E9-D19)^2+(F9-E19)^2+(G9-F19)^2+(H9-G19)^2+(I9-H19)^2+(J9-I19)^2</f>
        <v>72</v>
      </c>
      <c r="E29" s="32">
        <f>(D9-C20)^2+(E9-D20)^2+(F9-E20)^2+(G9-F20)^2+(H9-G20)^2+(I9-H20)^2+(J9-I20)^2</f>
        <v>31</v>
      </c>
      <c r="F29" s="32">
        <f>(D9-C21)^2+(E9-D21)^2+(F9-E21)^2+(G9-F21)^2+(H9-G21)^2+(I9-H21)^2+(J9-I21)^2</f>
        <v>16</v>
      </c>
      <c r="G29" s="32">
        <f t="shared" si="4"/>
        <v>8.4852813742385695</v>
      </c>
      <c r="H29" s="32">
        <f t="shared" si="5"/>
        <v>5.5677643628300215</v>
      </c>
      <c r="I29" s="32">
        <f t="shared" si="6"/>
        <v>4</v>
      </c>
      <c r="J29" s="33" t="str">
        <f t="shared" si="7"/>
        <v>K3</v>
      </c>
      <c r="K29" s="34" t="str">
        <f t="shared" si="8"/>
        <v>Dekat K3 (Rendah)</v>
      </c>
    </row>
    <row r="30" spans="2:18" ht="15" customHeight="1" x14ac:dyDescent="0.25">
      <c r="B30" s="25">
        <v>5</v>
      </c>
      <c r="C30" s="26" t="str">
        <f t="shared" si="3"/>
        <v>Eko Wahyudi</v>
      </c>
      <c r="D30" s="27">
        <f>(D10-C19)^2+(E10-D19)^2+(F10-E19)^2+(G10-F19)^2+(H10-G19)^2+(I10-H19)^2+(J10-I19)^2</f>
        <v>15</v>
      </c>
      <c r="E30" s="27">
        <f>(D10-C20)^2+(E10-D20)^2+(F10-E20)^2+(G10-F20)^2+(H10-G20)^2+(I10-H20)^2+(J10-I20)^2</f>
        <v>0</v>
      </c>
      <c r="F30" s="27">
        <f>(D10-C21)^2+(E10-D21)^2+(F10-E21)^2+(G10-F21)^2+(H10-G21)^2+(I10-H21)^2+(J10-I21)^2</f>
        <v>63</v>
      </c>
      <c r="G30" s="27">
        <f t="shared" si="4"/>
        <v>3.872983346207417</v>
      </c>
      <c r="H30" s="27">
        <f t="shared" si="5"/>
        <v>0</v>
      </c>
      <c r="I30" s="27">
        <f t="shared" si="6"/>
        <v>7.9372539331937721</v>
      </c>
      <c r="J30" s="28" t="str">
        <f t="shared" si="7"/>
        <v>K2</v>
      </c>
      <c r="K30" s="29" t="str">
        <f t="shared" si="8"/>
        <v>Dekat K2 (Sedang)</v>
      </c>
    </row>
    <row r="31" spans="2:18" ht="15" customHeight="1" x14ac:dyDescent="0.25">
      <c r="B31" s="30">
        <v>6</v>
      </c>
      <c r="C31" s="31" t="str">
        <f t="shared" si="3"/>
        <v>Fitri Handayani</v>
      </c>
      <c r="D31" s="32">
        <f>(D11-C19)^2+(E11-D19)^2+(F11-E19)^2+(G11-F19)^2+(H11-G19)^2+(I11-H19)^2+(J11-I19)^2</f>
        <v>132</v>
      </c>
      <c r="E31" s="32">
        <f>(D11-C20)^2+(E11-D20)^2+(F11-E20)^2+(G11-F20)^2+(H11-G20)^2+(I11-H20)^2+(J11-I20)^2</f>
        <v>63</v>
      </c>
      <c r="F31" s="32">
        <f>(D11-C21)^2+(E11-D21)^2+(F11-E21)^2+(G11-F21)^2+(H11-G21)^2+(I11-H21)^2+(J11-I21)^2</f>
        <v>0</v>
      </c>
      <c r="G31" s="32">
        <f t="shared" si="4"/>
        <v>11.489125293076057</v>
      </c>
      <c r="H31" s="32">
        <f t="shared" si="5"/>
        <v>7.9372539331937721</v>
      </c>
      <c r="I31" s="32">
        <f t="shared" si="6"/>
        <v>0</v>
      </c>
      <c r="J31" s="33" t="str">
        <f t="shared" si="7"/>
        <v>K3</v>
      </c>
      <c r="K31" s="34" t="str">
        <f t="shared" si="8"/>
        <v>Dekat K3 (Rendah)</v>
      </c>
    </row>
    <row r="32" spans="2:18" ht="15" customHeight="1" x14ac:dyDescent="0.25">
      <c r="B32" s="25">
        <v>7</v>
      </c>
      <c r="C32" s="26" t="str">
        <f t="shared" si="3"/>
        <v>Galih Nugroho</v>
      </c>
      <c r="D32" s="27">
        <f>(D12-C19)^2+(E12-D19)^2+(F12-E19)^2+(G12-F19)^2+(H12-G19)^2+(I12-H19)^2+(J12-I19)^2</f>
        <v>5</v>
      </c>
      <c r="E32" s="27">
        <f>(D12-C20)^2+(E12-D20)^2+(F12-E20)^2+(G12-F20)^2+(H12-G20)^2+(I12-H20)^2+(J12-I20)^2</f>
        <v>12</v>
      </c>
      <c r="F32" s="27">
        <f>(D12-C21)^2+(E12-D21)^2+(F12-E21)^2+(G12-F21)^2+(H12-G21)^2+(I12-H21)^2+(J12-I21)^2</f>
        <v>123</v>
      </c>
      <c r="G32" s="27">
        <f t="shared" si="4"/>
        <v>2.2360679774997898</v>
      </c>
      <c r="H32" s="27">
        <f t="shared" si="5"/>
        <v>3.4641016151377544</v>
      </c>
      <c r="I32" s="27">
        <f t="shared" si="6"/>
        <v>11.090536506409418</v>
      </c>
      <c r="J32" s="28" t="str">
        <f t="shared" si="7"/>
        <v>K1</v>
      </c>
      <c r="K32" s="29" t="str">
        <f t="shared" si="8"/>
        <v>Dekat K1 (Tinggi)</v>
      </c>
    </row>
    <row r="33" spans="2:18" ht="15" customHeight="1" x14ac:dyDescent="0.25">
      <c r="B33" s="30">
        <v>8</v>
      </c>
      <c r="C33" s="31" t="str">
        <f t="shared" si="3"/>
        <v>Hana Putri</v>
      </c>
      <c r="D33" s="32">
        <f>(D13-C19)^2+(E13-D19)^2+(F13-E19)^2+(G13-F19)^2+(H13-G19)^2+(I13-H19)^2+(J13-I19)^2</f>
        <v>40</v>
      </c>
      <c r="E33" s="32">
        <f>(D13-C20)^2+(E13-D20)^2+(F13-E20)^2+(G13-F20)^2+(H13-G20)^2+(I13-H20)^2+(J13-I20)^2</f>
        <v>13</v>
      </c>
      <c r="F33" s="32">
        <f>(D13-C21)^2+(E13-D21)^2+(F13-E21)^2+(G13-F21)^2+(H13-G21)^2+(I13-H21)^2+(J13-I21)^2</f>
        <v>34</v>
      </c>
      <c r="G33" s="32">
        <f t="shared" si="4"/>
        <v>6.324555320336759</v>
      </c>
      <c r="H33" s="32">
        <f t="shared" si="5"/>
        <v>3.6055512754639891</v>
      </c>
      <c r="I33" s="32">
        <f t="shared" si="6"/>
        <v>5.8309518948453007</v>
      </c>
      <c r="J33" s="33" t="str">
        <f t="shared" si="7"/>
        <v>K2</v>
      </c>
      <c r="K33" s="34" t="str">
        <f t="shared" si="8"/>
        <v>Dekat K2 (Sedang)</v>
      </c>
    </row>
    <row r="34" spans="2:18" ht="15" customHeight="1" x14ac:dyDescent="0.25">
      <c r="B34" s="25">
        <v>9</v>
      </c>
      <c r="C34" s="26" t="str">
        <f t="shared" si="3"/>
        <v>Indra Kusuma</v>
      </c>
      <c r="D34" s="27">
        <f>(D14-C19)^2+(E14-D19)^2+(F14-E19)^2+(G14-F19)^2+(H14-G19)^2+(I14-H19)^2+(J14-I19)^2</f>
        <v>4</v>
      </c>
      <c r="E34" s="27">
        <f>(D14-C20)^2+(E14-D20)^2+(F14-E20)^2+(G14-F20)^2+(H14-G20)^2+(I14-H20)^2+(J14-I20)^2</f>
        <v>9</v>
      </c>
      <c r="F34" s="27">
        <f>(D14-C21)^2+(E14-D21)^2+(F14-E21)^2+(G14-F21)^2+(H14-G21)^2+(I14-H21)^2+(J14-I21)^2</f>
        <v>114</v>
      </c>
      <c r="G34" s="27">
        <f t="shared" si="4"/>
        <v>2</v>
      </c>
      <c r="H34" s="27">
        <f t="shared" si="5"/>
        <v>3</v>
      </c>
      <c r="I34" s="27">
        <f t="shared" si="6"/>
        <v>10.677078252031311</v>
      </c>
      <c r="J34" s="28" t="str">
        <f t="shared" si="7"/>
        <v>K1</v>
      </c>
      <c r="K34" s="29" t="str">
        <f t="shared" si="8"/>
        <v>Dekat K1 (Tinggi)</v>
      </c>
    </row>
    <row r="35" spans="2:18" ht="15" customHeight="1" x14ac:dyDescent="0.25">
      <c r="B35" s="30">
        <v>10</v>
      </c>
      <c r="C35" s="31" t="str">
        <f t="shared" si="3"/>
        <v>Joko Purnomo</v>
      </c>
      <c r="D35" s="32">
        <f>(D15-C19)^2+(E15-D19)^2+(F15-E19)^2+(G15-F19)^2+(H15-G19)^2+(I15-H19)^2+(J15-I19)^2</f>
        <v>123</v>
      </c>
      <c r="E35" s="32">
        <f>(D15-C20)^2+(E15-D20)^2+(F15-E20)^2+(G15-F20)^2+(H15-G20)^2+(I15-H20)^2+(J15-I20)^2</f>
        <v>64</v>
      </c>
      <c r="F35" s="32">
        <f>(D15-C21)^2+(E15-D21)^2+(F15-E21)^2+(G15-F21)^2+(H15-G21)^2+(I15-H21)^2+(J15-I21)^2</f>
        <v>7</v>
      </c>
      <c r="G35" s="32">
        <f t="shared" si="4"/>
        <v>11.090536506409418</v>
      </c>
      <c r="H35" s="32">
        <f t="shared" si="5"/>
        <v>8</v>
      </c>
      <c r="I35" s="32">
        <f t="shared" si="6"/>
        <v>2.6457513110645907</v>
      </c>
      <c r="J35" s="33" t="str">
        <f t="shared" si="7"/>
        <v>K3</v>
      </c>
      <c r="K35" s="34" t="str">
        <f t="shared" si="8"/>
        <v>Dekat K3 (Rendah)</v>
      </c>
    </row>
    <row r="36" spans="2:18" ht="15" customHeight="1" x14ac:dyDescent="0.25">
      <c r="B36" s="120" t="s">
        <v>66</v>
      </c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</row>
    <row r="37" spans="2:18" ht="25.5" customHeight="1" x14ac:dyDescent="0.25">
      <c r="B37" s="35" t="s">
        <v>67</v>
      </c>
      <c r="C37" s="35" t="s">
        <v>39</v>
      </c>
      <c r="D37" s="35" t="s">
        <v>40</v>
      </c>
      <c r="E37" s="35" t="s">
        <v>41</v>
      </c>
      <c r="F37" s="35" t="s">
        <v>42</v>
      </c>
      <c r="G37" s="35" t="s">
        <v>43</v>
      </c>
      <c r="H37" s="35" t="s">
        <v>44</v>
      </c>
      <c r="I37" s="35" t="s">
        <v>45</v>
      </c>
      <c r="J37" s="35" t="s">
        <v>68</v>
      </c>
      <c r="K37" s="35" t="s">
        <v>69</v>
      </c>
    </row>
    <row r="38" spans="2:18" ht="15" customHeight="1" x14ac:dyDescent="0.25">
      <c r="B38" s="36" t="s">
        <v>70</v>
      </c>
      <c r="C38" s="37">
        <f>IFERROR(AVERAGEIF(J26:J35,"K1",D6:D15),0)</f>
        <v>8.5</v>
      </c>
      <c r="D38" s="37">
        <f>IFERROR(AVERAGEIF(J26:J35,"K1",E6:E15),0)</f>
        <v>8.25</v>
      </c>
      <c r="E38" s="37">
        <f>IFERROR(AVERAGEIF(J26:J35,"K1",F6:F15),0)</f>
        <v>8.5</v>
      </c>
      <c r="F38" s="37">
        <f>IFERROR(AVERAGEIF(J26:J35,"K1",G6:G15),0)</f>
        <v>8.5</v>
      </c>
      <c r="G38" s="37">
        <f>IFERROR(AVERAGEIF(J26:J35,"K1",H6:H15),0)</f>
        <v>8.75</v>
      </c>
      <c r="H38" s="37">
        <f>IFERROR(AVERAGEIF(J26:J35,"K1",I6:I15),0)</f>
        <v>8.25</v>
      </c>
      <c r="I38" s="37">
        <f>IFERROR(AVERAGEIF(J26:J35,"K1",J6:J15),0)</f>
        <v>8.25</v>
      </c>
      <c r="J38" s="38">
        <f>COUNTIF(J26:J35,"K1")</f>
        <v>4</v>
      </c>
      <c r="K38" s="39" t="s">
        <v>71</v>
      </c>
    </row>
    <row r="39" spans="2:18" ht="15" customHeight="1" x14ac:dyDescent="0.25">
      <c r="B39" s="40" t="s">
        <v>72</v>
      </c>
      <c r="C39" s="41">
        <f>IFERROR(AVERAGEIF(J26:J35,"K2",D6:D15),0)</f>
        <v>6.5</v>
      </c>
      <c r="D39" s="41">
        <f>IFERROR(AVERAGEIF(J26:J35,"K2",E6:E15),0)</f>
        <v>7</v>
      </c>
      <c r="E39" s="41">
        <f>IFERROR(AVERAGEIF(J26:J35,"K2",F6:F15),0)</f>
        <v>7</v>
      </c>
      <c r="F39" s="41">
        <f>IFERROR(AVERAGEIF(J26:J35,"K2",G6:G15),0)</f>
        <v>7</v>
      </c>
      <c r="G39" s="41">
        <f>IFERROR(AVERAGEIF(J26:J35,"K2",H6:H15),0)</f>
        <v>7</v>
      </c>
      <c r="H39" s="41">
        <f>IFERROR(AVERAGEIF(J26:J35,"K2",I6:I15),0)</f>
        <v>7</v>
      </c>
      <c r="I39" s="41">
        <f>IFERROR(AVERAGEIF(J26:J35,"K2",J6:J15),0)</f>
        <v>7</v>
      </c>
      <c r="J39" s="42">
        <f>COUNTIF(J26:J35,"K2")</f>
        <v>2</v>
      </c>
      <c r="K39" s="43" t="s">
        <v>73</v>
      </c>
    </row>
    <row r="40" spans="2:18" ht="15" customHeight="1" x14ac:dyDescent="0.25">
      <c r="B40" s="44" t="s">
        <v>74</v>
      </c>
      <c r="C40" s="45">
        <f>IFERROR(AVERAGEIF(J26:J35,"K3",D6:D15),0)</f>
        <v>5</v>
      </c>
      <c r="D40" s="45">
        <f>IFERROR(AVERAGEIF(J26:J35,"K3",E6:E15),0)</f>
        <v>5</v>
      </c>
      <c r="E40" s="45">
        <f>IFERROR(AVERAGEIF(J26:J35,"K3",F6:F15),0)</f>
        <v>5</v>
      </c>
      <c r="F40" s="45">
        <f>IFERROR(AVERAGEIF(J26:J35,"K3",G6:G15),0)</f>
        <v>5</v>
      </c>
      <c r="G40" s="45">
        <f>IFERROR(AVERAGEIF(J26:J35,"K3",H6:H15),0)</f>
        <v>5</v>
      </c>
      <c r="H40" s="45">
        <f>IFERROR(AVERAGEIF(J26:J35,"K3",I6:I15),0)</f>
        <v>5</v>
      </c>
      <c r="I40" s="45">
        <f>IFERROR(AVERAGEIF(J26:J35,"K3",J6:J15),0)</f>
        <v>5</v>
      </c>
      <c r="J40" s="46">
        <f>COUNTIF(J26:J35,"K3")</f>
        <v>4</v>
      </c>
      <c r="K40" s="47" t="s">
        <v>75</v>
      </c>
    </row>
    <row r="41" spans="2:18" ht="15" customHeight="1" x14ac:dyDescent="0.25">
      <c r="B41" s="121" t="s">
        <v>76</v>
      </c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</row>
    <row r="42" spans="2:18" ht="25.5" customHeight="1" x14ac:dyDescent="0.25">
      <c r="B42" s="48" t="s">
        <v>16</v>
      </c>
      <c r="C42" s="48" t="s">
        <v>17</v>
      </c>
      <c r="D42" s="48" t="s">
        <v>59</v>
      </c>
      <c r="E42" s="48" t="s">
        <v>60</v>
      </c>
      <c r="F42" s="48" t="s">
        <v>61</v>
      </c>
      <c r="G42" s="48" t="s">
        <v>62</v>
      </c>
      <c r="H42" s="48" t="s">
        <v>63</v>
      </c>
      <c r="I42" s="48" t="s">
        <v>64</v>
      </c>
      <c r="J42" s="48" t="s">
        <v>65</v>
      </c>
      <c r="K42" s="48" t="s">
        <v>47</v>
      </c>
    </row>
    <row r="43" spans="2:18" ht="25.5" customHeight="1" x14ac:dyDescent="0.25">
      <c r="B43" s="6">
        <v>1</v>
      </c>
      <c r="C43" s="7" t="str">
        <f t="shared" ref="C43:C52" si="9">C6</f>
        <v>Andi Setiawan</v>
      </c>
      <c r="D43" s="49">
        <f>(D6-C38)^2+(E6-D38)^2+(F6-E38)^2+(G6-F38)^2+(H6-G38)^2+(I6-H38)^2+(J6-I38)^2</f>
        <v>4</v>
      </c>
      <c r="E43" s="49">
        <f>(D6-C39)^2+(E6-D39)^2+(F6-E39)^2+(G6-F39)^2+(H6-G39)^2+(I6-H39)^2+(J6-I39)^2</f>
        <v>12.25</v>
      </c>
      <c r="F43" s="49">
        <f>(D6-C40)^2+(E6-D40)^2+(F6-E40)^2+(G6-F40)^2+(H6-G40)^2+(I6-H40)^2+(J6-I40)^2</f>
        <v>67</v>
      </c>
      <c r="G43" s="49">
        <f t="shared" ref="G43:G52" si="10">SQRT(D43)</f>
        <v>2</v>
      </c>
      <c r="H43" s="49">
        <f t="shared" ref="H43:H52" si="11">SQRT(E43)</f>
        <v>3.5</v>
      </c>
      <c r="I43" s="49">
        <f t="shared" ref="I43:I52" si="12">SQRT(F43)</f>
        <v>8.1853527718724504</v>
      </c>
      <c r="J43" s="50" t="str">
        <f t="shared" ref="J43:J52" si="13">IF(AND(G43&lt;=H43,G43&lt;=I43),"K1",IF(H43&lt;=I43,"K2","K3"))</f>
        <v>K1</v>
      </c>
      <c r="K43" s="51" t="str">
        <f t="shared" ref="K43:K52" si="14">IF(J43="K1","Dekat K1 (Tinggi)",IF(J43="K2","Dekat K2 (Sedang)","Dekat K3 (Rendah)"))</f>
        <v>Dekat K1 (Tinggi)</v>
      </c>
    </row>
    <row r="44" spans="2:18" ht="25.5" customHeight="1" x14ac:dyDescent="0.25">
      <c r="B44" s="10">
        <v>2</v>
      </c>
      <c r="C44" s="11" t="str">
        <f t="shared" si="9"/>
        <v>Budi Santoso</v>
      </c>
      <c r="D44" s="52">
        <f>(D7-C38)^2+(E7-D38)^2+(F7-E38)^2+(G7-F38)^2+(H7-G38)^2+(I7-H38)^2+(J7-I38)^2</f>
        <v>65.5</v>
      </c>
      <c r="E44" s="52">
        <f>(D7-C39)^2+(E7-D39)^2+(F7-E39)^2+(G7-F39)^2+(H7-G39)^2+(I7-H39)^2+(J7-I39)^2</f>
        <v>17.25</v>
      </c>
      <c r="F44" s="52">
        <f>(D7-C40)^2+(E7-D40)^2+(F7-E40)^2+(G7-F40)^2+(H7-G40)^2+(I7-H40)^2+(J7-I40)^2</f>
        <v>3</v>
      </c>
      <c r="G44" s="52">
        <f t="shared" si="10"/>
        <v>8.0932070281193234</v>
      </c>
      <c r="H44" s="52">
        <f t="shared" si="11"/>
        <v>4.1533119314590374</v>
      </c>
      <c r="I44" s="52">
        <f t="shared" si="12"/>
        <v>1.7320508075688772</v>
      </c>
      <c r="J44" s="53" t="str">
        <f t="shared" si="13"/>
        <v>K3</v>
      </c>
      <c r="K44" s="54" t="str">
        <f t="shared" si="14"/>
        <v>Dekat K3 (Rendah)</v>
      </c>
    </row>
    <row r="45" spans="2:18" ht="25.5" customHeight="1" x14ac:dyDescent="0.25">
      <c r="B45" s="6">
        <v>3</v>
      </c>
      <c r="C45" s="7" t="str">
        <f t="shared" si="9"/>
        <v>Citra Dewi</v>
      </c>
      <c r="D45" s="49">
        <f>(D8-C38)^2+(E8-D38)^2+(F8-E38)^2+(G8-F38)^2+(H8-G38)^2+(I8-H38)^2+(J8-I38)^2</f>
        <v>2</v>
      </c>
      <c r="E45" s="49">
        <f>(D8-C39)^2+(E8-D39)^2+(F8-E39)^2+(G8-F39)^2+(H8-G39)^2+(I8-H39)^2+(J8-I39)^2</f>
        <v>24.25</v>
      </c>
      <c r="F45" s="49">
        <f>(D8-C40)^2+(E8-D40)^2+(F8-E40)^2+(G8-F40)^2+(H8-G40)^2+(I8-H40)^2+(J8-I40)^2</f>
        <v>98</v>
      </c>
      <c r="G45" s="49">
        <f t="shared" si="10"/>
        <v>1.4142135623730951</v>
      </c>
      <c r="H45" s="49">
        <f t="shared" si="11"/>
        <v>4.924428900898052</v>
      </c>
      <c r="I45" s="49">
        <f t="shared" si="12"/>
        <v>9.8994949366116654</v>
      </c>
      <c r="J45" s="50" t="str">
        <f t="shared" si="13"/>
        <v>K1</v>
      </c>
      <c r="K45" s="51" t="str">
        <f t="shared" si="14"/>
        <v>Dekat K1 (Tinggi)</v>
      </c>
    </row>
    <row r="46" spans="2:18" ht="25.5" customHeight="1" x14ac:dyDescent="0.25">
      <c r="B46" s="10">
        <v>4</v>
      </c>
      <c r="C46" s="11" t="str">
        <f t="shared" si="9"/>
        <v>Dian Pratiwi</v>
      </c>
      <c r="D46" s="52">
        <f>(D9-C38)^2+(E9-D38)^2+(F9-E38)^2+(G9-F38)^2+(H9-G38)^2+(I9-H38)^2+(J9-I38)^2</f>
        <v>58.5</v>
      </c>
      <c r="E46" s="52">
        <f>(D9-C39)^2+(E9-D39)^2+(F9-E39)^2+(G9-F39)^2+(H9-G39)^2+(I9-H39)^2+(J9-I39)^2</f>
        <v>15.25</v>
      </c>
      <c r="F46" s="52">
        <f>(D9-C40)^2+(E9-D40)^2+(F9-E40)^2+(G9-F40)^2+(H9-G40)^2+(I9-H40)^2+(J9-I40)^2</f>
        <v>4</v>
      </c>
      <c r="G46" s="52">
        <f t="shared" si="10"/>
        <v>7.6485292703891776</v>
      </c>
      <c r="H46" s="52">
        <f t="shared" si="11"/>
        <v>3.905124837953327</v>
      </c>
      <c r="I46" s="52">
        <f t="shared" si="12"/>
        <v>2</v>
      </c>
      <c r="J46" s="53" t="str">
        <f t="shared" si="13"/>
        <v>K3</v>
      </c>
      <c r="K46" s="54" t="str">
        <f t="shared" si="14"/>
        <v>Dekat K3 (Rendah)</v>
      </c>
    </row>
    <row r="47" spans="2:18" ht="25.5" customHeight="1" x14ac:dyDescent="0.25">
      <c r="B47" s="6">
        <v>5</v>
      </c>
      <c r="C47" s="7" t="str">
        <f t="shared" si="9"/>
        <v>Eko Wahyudi</v>
      </c>
      <c r="D47" s="49">
        <f>(D10-C38)^2+(E10-D38)^2+(F10-E38)^2+(G10-F38)^2+(H10-G38)^2+(I10-H38)^2+(J10-I38)^2</f>
        <v>9.5</v>
      </c>
      <c r="E47" s="49">
        <f>(D10-C39)^2+(E10-D39)^2+(F10-E39)^2+(G10-F39)^2+(H10-G39)^2+(I10-H39)^2+(J10-I39)^2</f>
        <v>3.25</v>
      </c>
      <c r="F47" s="49">
        <f>(D10-C40)^2+(E10-D40)^2+(F10-E40)^2+(G10-F40)^2+(H10-G40)^2+(I10-H40)^2+(J10-I40)^2</f>
        <v>43</v>
      </c>
      <c r="G47" s="49">
        <f t="shared" si="10"/>
        <v>3.082207001484488</v>
      </c>
      <c r="H47" s="49">
        <f t="shared" si="11"/>
        <v>1.8027756377319946</v>
      </c>
      <c r="I47" s="49">
        <f t="shared" si="12"/>
        <v>6.5574385243020004</v>
      </c>
      <c r="J47" s="50" t="str">
        <f t="shared" si="13"/>
        <v>K2</v>
      </c>
      <c r="K47" s="51" t="str">
        <f t="shared" si="14"/>
        <v>Dekat K2 (Sedang)</v>
      </c>
    </row>
    <row r="48" spans="2:18" ht="25.5" customHeight="1" x14ac:dyDescent="0.25">
      <c r="B48" s="10">
        <v>6</v>
      </c>
      <c r="C48" s="11" t="str">
        <f t="shared" si="9"/>
        <v>Fitri Handayani</v>
      </c>
      <c r="D48" s="52">
        <f>(D11-C38)^2+(E11-D38)^2+(F11-E38)^2+(G11-F38)^2+(H11-G38)^2+(I11-H38)^2+(J11-I38)^2</f>
        <v>114.5</v>
      </c>
      <c r="E48" s="52">
        <f>(D11-C39)^2+(E11-D39)^2+(F11-E39)^2+(G11-F39)^2+(H11-G39)^2+(I11-H39)^2+(J11-I39)^2</f>
        <v>45.25</v>
      </c>
      <c r="F48" s="52">
        <f>(D11-C40)^2+(E11-D40)^2+(F11-E40)^2+(G11-F40)^2+(H11-G40)^2+(I11-H40)^2+(J11-I40)^2</f>
        <v>4</v>
      </c>
      <c r="G48" s="52">
        <f t="shared" si="10"/>
        <v>10.700467279516348</v>
      </c>
      <c r="H48" s="52">
        <f t="shared" si="11"/>
        <v>6.7268120235368549</v>
      </c>
      <c r="I48" s="52">
        <f t="shared" si="12"/>
        <v>2</v>
      </c>
      <c r="J48" s="53" t="str">
        <f t="shared" si="13"/>
        <v>K3</v>
      </c>
      <c r="K48" s="54" t="str">
        <f t="shared" si="14"/>
        <v>Dekat K3 (Rendah)</v>
      </c>
    </row>
    <row r="49" spans="2:18" ht="25.5" customHeight="1" x14ac:dyDescent="0.25">
      <c r="B49" s="6">
        <v>7</v>
      </c>
      <c r="C49" s="7" t="str">
        <f t="shared" si="9"/>
        <v>Galih Nugroho</v>
      </c>
      <c r="D49" s="49">
        <f>(D12-C38)^2+(E12-D38)^2+(F12-E38)^2+(G12-F38)^2+(H12-G38)^2+(I12-H38)^2+(J12-I38)^2</f>
        <v>2</v>
      </c>
      <c r="E49" s="49">
        <f>(D12-C39)^2+(E12-D39)^2+(F12-E39)^2+(G12-F39)^2+(H12-G39)^2+(I12-H39)^2+(J12-I39)^2</f>
        <v>21.25</v>
      </c>
      <c r="F49" s="49">
        <f>(D12-C40)^2+(E12-D40)^2+(F12-E40)^2+(G12-F40)^2+(H12-G40)^2+(I12-H40)^2+(J12-I40)^2</f>
        <v>91</v>
      </c>
      <c r="G49" s="49">
        <f t="shared" si="10"/>
        <v>1.4142135623730951</v>
      </c>
      <c r="H49" s="49">
        <f t="shared" si="11"/>
        <v>4.6097722286464435</v>
      </c>
      <c r="I49" s="49">
        <f t="shared" si="12"/>
        <v>9.5393920141694561</v>
      </c>
      <c r="J49" s="50" t="str">
        <f t="shared" si="13"/>
        <v>K1</v>
      </c>
      <c r="K49" s="51" t="str">
        <f t="shared" si="14"/>
        <v>Dekat K1 (Tinggi)</v>
      </c>
    </row>
    <row r="50" spans="2:18" ht="25.5" customHeight="1" x14ac:dyDescent="0.25">
      <c r="B50" s="10">
        <v>8</v>
      </c>
      <c r="C50" s="11" t="str">
        <f t="shared" si="9"/>
        <v>Hana Putri</v>
      </c>
      <c r="D50" s="52">
        <f>(D13-C38)^2+(E13-D38)^2+(F13-E38)^2+(G13-F38)^2+(H13-G38)^2+(I13-H38)^2+(J13-I38)^2</f>
        <v>29.5</v>
      </c>
      <c r="E50" s="52">
        <f>(D13-C39)^2+(E13-D39)^2+(F13-E39)^2+(G13-F39)^2+(H13-G39)^2+(I13-H39)^2+(J13-I39)^2</f>
        <v>3.25</v>
      </c>
      <c r="F50" s="52">
        <f>(D13-C40)^2+(E13-D40)^2+(F13-E40)^2+(G13-F40)^2+(H13-G40)^2+(I13-H40)^2+(J13-I40)^2</f>
        <v>16</v>
      </c>
      <c r="G50" s="52">
        <f t="shared" si="10"/>
        <v>5.4313902456001077</v>
      </c>
      <c r="H50" s="52">
        <f t="shared" si="11"/>
        <v>1.8027756377319946</v>
      </c>
      <c r="I50" s="52">
        <f t="shared" si="12"/>
        <v>4</v>
      </c>
      <c r="J50" s="53" t="str">
        <f t="shared" si="13"/>
        <v>K2</v>
      </c>
      <c r="K50" s="54" t="str">
        <f t="shared" si="14"/>
        <v>Dekat K2 (Sedang)</v>
      </c>
    </row>
    <row r="51" spans="2:18" ht="25.5" customHeight="1" x14ac:dyDescent="0.25">
      <c r="B51" s="6">
        <v>9</v>
      </c>
      <c r="C51" s="7" t="str">
        <f t="shared" si="9"/>
        <v>Indra Kusuma</v>
      </c>
      <c r="D51" s="49">
        <f>(D14-C38)^2+(E14-D38)^2+(F14-E38)^2+(G14-F38)^2+(H14-G38)^2+(I14-H38)^2+(J14-I38)^2</f>
        <v>2</v>
      </c>
      <c r="E51" s="49">
        <f>(D14-C39)^2+(E14-D39)^2+(F14-E39)^2+(G14-F39)^2+(H14-G39)^2+(I14-H39)^2+(J14-I39)^2</f>
        <v>17.25</v>
      </c>
      <c r="F51" s="49">
        <f>(D14-C40)^2+(E14-D40)^2+(F14-E40)^2+(G14-F40)^2+(H14-G40)^2+(I14-H40)^2+(J14-I40)^2</f>
        <v>84</v>
      </c>
      <c r="G51" s="49">
        <f t="shared" si="10"/>
        <v>1.4142135623730951</v>
      </c>
      <c r="H51" s="49">
        <f t="shared" si="11"/>
        <v>4.1533119314590374</v>
      </c>
      <c r="I51" s="49">
        <f t="shared" si="12"/>
        <v>9.1651513899116797</v>
      </c>
      <c r="J51" s="50" t="str">
        <f t="shared" si="13"/>
        <v>K1</v>
      </c>
      <c r="K51" s="51" t="str">
        <f t="shared" si="14"/>
        <v>Dekat K1 (Tinggi)</v>
      </c>
    </row>
    <row r="52" spans="2:18" ht="25.5" customHeight="1" x14ac:dyDescent="0.25">
      <c r="B52" s="10">
        <v>10</v>
      </c>
      <c r="C52" s="11" t="str">
        <f t="shared" si="9"/>
        <v>Joko Purnomo</v>
      </c>
      <c r="D52" s="52">
        <f>(D15-C38)^2+(E15-D38)^2+(F15-E38)^2+(G15-F38)^2+(H15-G38)^2+(I15-H38)^2+(J15-I38)^2</f>
        <v>105.5</v>
      </c>
      <c r="E52" s="52">
        <f>(D15-C39)^2+(E15-D39)^2+(F15-E39)^2+(G15-F39)^2+(H15-G39)^2+(I15-H39)^2+(J15-I39)^2</f>
        <v>41.25</v>
      </c>
      <c r="F52" s="52">
        <f>(D15-C40)^2+(E15-D40)^2+(F15-E40)^2+(G15-F40)^2+(H15-G40)^2+(I15-H40)^2+(J15-I40)^2</f>
        <v>3</v>
      </c>
      <c r="G52" s="52">
        <f t="shared" si="10"/>
        <v>10.271319292087069</v>
      </c>
      <c r="H52" s="52">
        <f t="shared" si="11"/>
        <v>6.4226162893325647</v>
      </c>
      <c r="I52" s="52">
        <f t="shared" si="12"/>
        <v>1.7320508075688772</v>
      </c>
      <c r="J52" s="53" t="str">
        <f t="shared" si="13"/>
        <v>K3</v>
      </c>
      <c r="K52" s="54" t="str">
        <f t="shared" si="14"/>
        <v>Dekat K3 (Rendah)</v>
      </c>
    </row>
    <row r="53" spans="2:18" ht="15" customHeight="1" x14ac:dyDescent="0.25">
      <c r="B53" s="120" t="s">
        <v>77</v>
      </c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</row>
    <row r="54" spans="2:18" ht="25.5" customHeight="1" x14ac:dyDescent="0.25">
      <c r="B54" s="35" t="s">
        <v>67</v>
      </c>
      <c r="C54" s="35" t="s">
        <v>39</v>
      </c>
      <c r="D54" s="35" t="s">
        <v>40</v>
      </c>
      <c r="E54" s="35" t="s">
        <v>41</v>
      </c>
      <c r="F54" s="35" t="s">
        <v>42</v>
      </c>
      <c r="G54" s="35" t="s">
        <v>43</v>
      </c>
      <c r="H54" s="35" t="s">
        <v>44</v>
      </c>
      <c r="I54" s="35" t="s">
        <v>45</v>
      </c>
      <c r="J54" s="35" t="s">
        <v>68</v>
      </c>
      <c r="K54" s="35" t="s">
        <v>69</v>
      </c>
    </row>
    <row r="55" spans="2:18" ht="15" customHeight="1" x14ac:dyDescent="0.25">
      <c r="B55" s="36" t="s">
        <v>70</v>
      </c>
      <c r="C55" s="37">
        <f>IFERROR(AVERAGEIF(J43:J52,"K1",D6:D15),0)</f>
        <v>8.5</v>
      </c>
      <c r="D55" s="37">
        <f>IFERROR(AVERAGEIF(J43:J52,"K1",E6:E15),0)</f>
        <v>8.25</v>
      </c>
      <c r="E55" s="37">
        <f>IFERROR(AVERAGEIF(J43:J52,"K1",F6:F15),0)</f>
        <v>8.5</v>
      </c>
      <c r="F55" s="37">
        <f>IFERROR(AVERAGEIF(J43:J52,"K1",G6:G15),0)</f>
        <v>8.5</v>
      </c>
      <c r="G55" s="37">
        <f>IFERROR(AVERAGEIF(J43:J52,"K1",H6:H15),0)</f>
        <v>8.75</v>
      </c>
      <c r="H55" s="37">
        <f>IFERROR(AVERAGEIF(J43:J52,"K1",I6:I15),0)</f>
        <v>8.25</v>
      </c>
      <c r="I55" s="37">
        <f>IFERROR(AVERAGEIF(J43:J52,"K1",J6:J15),0)</f>
        <v>8.25</v>
      </c>
      <c r="J55" s="38">
        <f>COUNTIF(J43:J52,"K1")</f>
        <v>4</v>
      </c>
      <c r="K55" s="39" t="s">
        <v>71</v>
      </c>
    </row>
    <row r="56" spans="2:18" ht="15" customHeight="1" x14ac:dyDescent="0.25">
      <c r="B56" s="40" t="s">
        <v>72</v>
      </c>
      <c r="C56" s="41">
        <f>IFERROR(AVERAGEIF(J43:J52,"K2",D6:D15),0)</f>
        <v>6.5</v>
      </c>
      <c r="D56" s="41">
        <f>IFERROR(AVERAGEIF(J43:J52,"K2",E6:E15),0)</f>
        <v>7</v>
      </c>
      <c r="E56" s="41">
        <f>IFERROR(AVERAGEIF(J43:J52,"K2",F6:F15),0)</f>
        <v>7</v>
      </c>
      <c r="F56" s="41">
        <f>IFERROR(AVERAGEIF(J43:J52,"K2",G6:G15),0)</f>
        <v>7</v>
      </c>
      <c r="G56" s="41">
        <f>IFERROR(AVERAGEIF(J43:J52,"K2",H6:H15),0)</f>
        <v>7</v>
      </c>
      <c r="H56" s="41">
        <f>IFERROR(AVERAGEIF(J43:J52,"K2",I6:I15),0)</f>
        <v>7</v>
      </c>
      <c r="I56" s="41">
        <f>IFERROR(AVERAGEIF(J43:J52,"K2",J6:J15),0)</f>
        <v>7</v>
      </c>
      <c r="J56" s="42">
        <f>COUNTIF(J43:J52,"K2")</f>
        <v>2</v>
      </c>
      <c r="K56" s="43" t="s">
        <v>73</v>
      </c>
    </row>
    <row r="57" spans="2:18" ht="15" customHeight="1" x14ac:dyDescent="0.25">
      <c r="B57" s="44" t="s">
        <v>74</v>
      </c>
      <c r="C57" s="45">
        <f>IFERROR(AVERAGEIF(J43:J52,"K3",D6:D15),0)</f>
        <v>5</v>
      </c>
      <c r="D57" s="45">
        <f>IFERROR(AVERAGEIF(J43:J52,"K3",E6:E15),0)</f>
        <v>5</v>
      </c>
      <c r="E57" s="45">
        <f>IFERROR(AVERAGEIF(J43:J52,"K3",F6:F15),0)</f>
        <v>5</v>
      </c>
      <c r="F57" s="45">
        <f>IFERROR(AVERAGEIF(J43:J52,"K3",G6:G15),0)</f>
        <v>5</v>
      </c>
      <c r="G57" s="45">
        <f>IFERROR(AVERAGEIF(J43:J52,"K3",H6:H15),0)</f>
        <v>5</v>
      </c>
      <c r="H57" s="45">
        <f>IFERROR(AVERAGEIF(J43:J52,"K3",I6:I15),0)</f>
        <v>5</v>
      </c>
      <c r="I57" s="45">
        <f>IFERROR(AVERAGEIF(J43:J52,"K3",J6:J15),0)</f>
        <v>5</v>
      </c>
      <c r="J57" s="46">
        <f>COUNTIF(J43:J52,"K3")</f>
        <v>4</v>
      </c>
      <c r="K57" s="47" t="s">
        <v>75</v>
      </c>
    </row>
    <row r="58" spans="2:18" ht="15" customHeight="1" x14ac:dyDescent="0.25">
      <c r="B58" s="122" t="s">
        <v>78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</row>
    <row r="59" spans="2:18" ht="25.5" customHeight="1" x14ac:dyDescent="0.25">
      <c r="B59" s="55" t="s">
        <v>16</v>
      </c>
      <c r="C59" s="55" t="s">
        <v>17</v>
      </c>
      <c r="D59" s="55" t="s">
        <v>59</v>
      </c>
      <c r="E59" s="55" t="s">
        <v>60</v>
      </c>
      <c r="F59" s="55" t="s">
        <v>61</v>
      </c>
      <c r="G59" s="55" t="s">
        <v>62</v>
      </c>
      <c r="H59" s="55" t="s">
        <v>63</v>
      </c>
      <c r="I59" s="55" t="s">
        <v>64</v>
      </c>
      <c r="J59" s="55" t="s">
        <v>65</v>
      </c>
      <c r="K59" s="55" t="s">
        <v>47</v>
      </c>
    </row>
    <row r="60" spans="2:18" ht="15" customHeight="1" x14ac:dyDescent="0.25">
      <c r="B60" s="6">
        <v>1</v>
      </c>
      <c r="C60" s="7" t="str">
        <f t="shared" ref="C60:C69" si="15">C6</f>
        <v>Andi Setiawan</v>
      </c>
      <c r="D60" s="49">
        <f>(D6-C55)^2+(E6-D55)^2+(F6-E55)^2+(G6-F55)^2+(H6-G55)^2+(I6-H55)^2+(J6-I55)^2</f>
        <v>4</v>
      </c>
      <c r="E60" s="49">
        <f>(D6-C56)^2+(E6-D56)^2+(F6-E56)^2+(G6-F56)^2+(H6-G56)^2+(I6-H56)^2+(J6-I56)^2</f>
        <v>12.25</v>
      </c>
      <c r="F60" s="49">
        <f>(D6-C57)^2+(E6-D57)^2+(F6-E57)^2+(G6-F57)^2+(H6-G57)^2+(I6-H57)^2+(J6-I57)^2</f>
        <v>67</v>
      </c>
      <c r="G60" s="49">
        <f t="shared" ref="G60:G69" si="16">SQRT(D60)</f>
        <v>2</v>
      </c>
      <c r="H60" s="49">
        <f t="shared" ref="H60:H69" si="17">SQRT(E60)</f>
        <v>3.5</v>
      </c>
      <c r="I60" s="49">
        <f t="shared" ref="I60:I69" si="18">SQRT(F60)</f>
        <v>8.1853527718724504</v>
      </c>
      <c r="J60" s="50" t="str">
        <f t="shared" ref="J60:J69" si="19">IF(AND(G60&lt;=H60,G60&lt;=I60),"K1",IF(H60&lt;=I60,"K2","K3"))</f>
        <v>K1</v>
      </c>
      <c r="K60" s="51" t="str">
        <f t="shared" ref="K60:K69" si="20">IF(J60=J43,"SAMA ✔","BERUBAH ✖")</f>
        <v>SAMA ✔</v>
      </c>
    </row>
    <row r="61" spans="2:18" ht="15" customHeight="1" x14ac:dyDescent="0.25">
      <c r="B61" s="10">
        <v>2</v>
      </c>
      <c r="C61" s="11" t="str">
        <f t="shared" si="15"/>
        <v>Budi Santoso</v>
      </c>
      <c r="D61" s="52">
        <f>(D7-C55)^2+(E7-D55)^2+(F7-E55)^2+(G7-F55)^2+(H7-G55)^2+(I7-H55)^2+(J7-I55)^2</f>
        <v>65.5</v>
      </c>
      <c r="E61" s="52">
        <f>(D7-C56)^2+(E7-D56)^2+(F7-E56)^2+(G7-F56)^2+(H7-G56)^2+(I7-H56)^2+(J7-I56)^2</f>
        <v>17.25</v>
      </c>
      <c r="F61" s="52">
        <f>(D7-C57)^2+(E7-D57)^2+(F7-E57)^2+(G7-F57)^2+(H7-G57)^2+(I7-H57)^2+(J7-I57)^2</f>
        <v>3</v>
      </c>
      <c r="G61" s="52">
        <f t="shared" si="16"/>
        <v>8.0932070281193234</v>
      </c>
      <c r="H61" s="52">
        <f t="shared" si="17"/>
        <v>4.1533119314590374</v>
      </c>
      <c r="I61" s="52">
        <f t="shared" si="18"/>
        <v>1.7320508075688772</v>
      </c>
      <c r="J61" s="53" t="str">
        <f t="shared" si="19"/>
        <v>K3</v>
      </c>
      <c r="K61" s="54" t="str">
        <f t="shared" si="20"/>
        <v>SAMA ✔</v>
      </c>
    </row>
    <row r="62" spans="2:18" ht="15" customHeight="1" x14ac:dyDescent="0.25">
      <c r="B62" s="6">
        <v>3</v>
      </c>
      <c r="C62" s="7" t="str">
        <f t="shared" si="15"/>
        <v>Citra Dewi</v>
      </c>
      <c r="D62" s="49">
        <f>(D8-C55)^2+(E8-D55)^2+(F8-E55)^2+(G8-F55)^2+(H8-G55)^2+(I8-H55)^2+(J8-I55)^2</f>
        <v>2</v>
      </c>
      <c r="E62" s="49">
        <f>(D8-C56)^2+(E8-D56)^2+(F8-E56)^2+(G8-F56)^2+(H8-G56)^2+(I8-H56)^2+(J8-I56)^2</f>
        <v>24.25</v>
      </c>
      <c r="F62" s="49">
        <f>(D8-C57)^2+(E8-D57)^2+(F8-E57)^2+(G8-F57)^2+(H8-G57)^2+(I8-H57)^2+(J8-I57)^2</f>
        <v>98</v>
      </c>
      <c r="G62" s="49">
        <f t="shared" si="16"/>
        <v>1.4142135623730951</v>
      </c>
      <c r="H62" s="49">
        <f t="shared" si="17"/>
        <v>4.924428900898052</v>
      </c>
      <c r="I62" s="49">
        <f t="shared" si="18"/>
        <v>9.8994949366116654</v>
      </c>
      <c r="J62" s="50" t="str">
        <f t="shared" si="19"/>
        <v>K1</v>
      </c>
      <c r="K62" s="51" t="str">
        <f t="shared" si="20"/>
        <v>SAMA ✔</v>
      </c>
    </row>
    <row r="63" spans="2:18" ht="15" customHeight="1" x14ac:dyDescent="0.25">
      <c r="B63" s="10">
        <v>4</v>
      </c>
      <c r="C63" s="11" t="str">
        <f t="shared" si="15"/>
        <v>Dian Pratiwi</v>
      </c>
      <c r="D63" s="52">
        <f>(D9-C55)^2+(E9-D55)^2+(F9-E55)^2+(G9-F55)^2+(H9-G55)^2+(I9-H55)^2+(J9-I55)^2</f>
        <v>58.5</v>
      </c>
      <c r="E63" s="52">
        <f>(D9-C56)^2+(E9-D56)^2+(F9-E56)^2+(G9-F56)^2+(H9-G56)^2+(I9-H56)^2+(J9-I56)^2</f>
        <v>15.25</v>
      </c>
      <c r="F63" s="52">
        <f>(D9-C57)^2+(E9-D57)^2+(F9-E57)^2+(G9-F57)^2+(H9-G57)^2+(I9-H57)^2+(J9-I57)^2</f>
        <v>4</v>
      </c>
      <c r="G63" s="52">
        <f t="shared" si="16"/>
        <v>7.6485292703891776</v>
      </c>
      <c r="H63" s="52">
        <f t="shared" si="17"/>
        <v>3.905124837953327</v>
      </c>
      <c r="I63" s="52">
        <f t="shared" si="18"/>
        <v>2</v>
      </c>
      <c r="J63" s="53" t="str">
        <f t="shared" si="19"/>
        <v>K3</v>
      </c>
      <c r="K63" s="54" t="str">
        <f t="shared" si="20"/>
        <v>SAMA ✔</v>
      </c>
    </row>
    <row r="64" spans="2:18" ht="15" customHeight="1" x14ac:dyDescent="0.25">
      <c r="B64" s="6">
        <v>5</v>
      </c>
      <c r="C64" s="7" t="str">
        <f t="shared" si="15"/>
        <v>Eko Wahyudi</v>
      </c>
      <c r="D64" s="49">
        <f>(D10-C55)^2+(E10-D55)^2+(F10-E55)^2+(G10-F55)^2+(H10-G55)^2+(I10-H55)^2+(J10-I55)^2</f>
        <v>9.5</v>
      </c>
      <c r="E64" s="49">
        <f>(D10-C56)^2+(E10-D56)^2+(F10-E56)^2+(G10-F56)^2+(H10-G56)^2+(I10-H56)^2+(J10-I56)^2</f>
        <v>3.25</v>
      </c>
      <c r="F64" s="49">
        <f>(D10-C57)^2+(E10-D57)^2+(F10-E57)^2+(G10-F57)^2+(H10-G57)^2+(I10-H57)^2+(J10-I57)^2</f>
        <v>43</v>
      </c>
      <c r="G64" s="49">
        <f t="shared" si="16"/>
        <v>3.082207001484488</v>
      </c>
      <c r="H64" s="49">
        <f t="shared" si="17"/>
        <v>1.8027756377319946</v>
      </c>
      <c r="I64" s="49">
        <f t="shared" si="18"/>
        <v>6.5574385243020004</v>
      </c>
      <c r="J64" s="50" t="str">
        <f t="shared" si="19"/>
        <v>K2</v>
      </c>
      <c r="K64" s="51" t="str">
        <f t="shared" si="20"/>
        <v>SAMA ✔</v>
      </c>
    </row>
    <row r="65" spans="2:18" ht="15" customHeight="1" x14ac:dyDescent="0.25">
      <c r="B65" s="10">
        <v>6</v>
      </c>
      <c r="C65" s="11" t="str">
        <f t="shared" si="15"/>
        <v>Fitri Handayani</v>
      </c>
      <c r="D65" s="52">
        <f>(D11-C55)^2+(E11-D55)^2+(F11-E55)^2+(G11-F55)^2+(H11-G55)^2+(I11-H55)^2+(J11-I55)^2</f>
        <v>114.5</v>
      </c>
      <c r="E65" s="52">
        <f>(D11-C56)^2+(E11-D56)^2+(F11-E56)^2+(G11-F56)^2+(H11-G56)^2+(I11-H56)^2+(J11-I56)^2</f>
        <v>45.25</v>
      </c>
      <c r="F65" s="52">
        <f>(D11-C57)^2+(E11-D57)^2+(F11-E57)^2+(G11-F57)^2+(H11-G57)^2+(I11-H57)^2+(J11-I57)^2</f>
        <v>4</v>
      </c>
      <c r="G65" s="52">
        <f t="shared" si="16"/>
        <v>10.700467279516348</v>
      </c>
      <c r="H65" s="52">
        <f t="shared" si="17"/>
        <v>6.7268120235368549</v>
      </c>
      <c r="I65" s="52">
        <f t="shared" si="18"/>
        <v>2</v>
      </c>
      <c r="J65" s="53" t="str">
        <f t="shared" si="19"/>
        <v>K3</v>
      </c>
      <c r="K65" s="54" t="str">
        <f t="shared" si="20"/>
        <v>SAMA ✔</v>
      </c>
    </row>
    <row r="66" spans="2:18" ht="15" customHeight="1" x14ac:dyDescent="0.25">
      <c r="B66" s="6">
        <v>7</v>
      </c>
      <c r="C66" s="7" t="str">
        <f t="shared" si="15"/>
        <v>Galih Nugroho</v>
      </c>
      <c r="D66" s="49">
        <f>(D12-C55)^2+(E12-D55)^2+(F12-E55)^2+(G12-F55)^2+(H12-G55)^2+(I12-H55)^2+(J12-I55)^2</f>
        <v>2</v>
      </c>
      <c r="E66" s="49">
        <f>(D12-C56)^2+(E12-D56)^2+(F12-E56)^2+(G12-F56)^2+(H12-G56)^2+(I12-H56)^2+(J12-I56)^2</f>
        <v>21.25</v>
      </c>
      <c r="F66" s="49">
        <f>(D12-C57)^2+(E12-D57)^2+(F12-E57)^2+(G12-F57)^2+(H12-G57)^2+(I12-H57)^2+(J12-I57)^2</f>
        <v>91</v>
      </c>
      <c r="G66" s="49">
        <f t="shared" si="16"/>
        <v>1.4142135623730951</v>
      </c>
      <c r="H66" s="49">
        <f t="shared" si="17"/>
        <v>4.6097722286464435</v>
      </c>
      <c r="I66" s="49">
        <f t="shared" si="18"/>
        <v>9.5393920141694561</v>
      </c>
      <c r="J66" s="50" t="str">
        <f t="shared" si="19"/>
        <v>K1</v>
      </c>
      <c r="K66" s="51" t="str">
        <f t="shared" si="20"/>
        <v>SAMA ✔</v>
      </c>
    </row>
    <row r="67" spans="2:18" ht="15" customHeight="1" x14ac:dyDescent="0.25">
      <c r="B67" s="10">
        <v>8</v>
      </c>
      <c r="C67" s="11" t="str">
        <f t="shared" si="15"/>
        <v>Hana Putri</v>
      </c>
      <c r="D67" s="52">
        <f>(D13-C55)^2+(E13-D55)^2+(F13-E55)^2+(G13-F55)^2+(H13-G55)^2+(I13-H55)^2+(J13-I55)^2</f>
        <v>29.5</v>
      </c>
      <c r="E67" s="52">
        <f>(D13-C56)^2+(E13-D56)^2+(F13-E56)^2+(G13-F56)^2+(H13-G56)^2+(I13-H56)^2+(J13-I56)^2</f>
        <v>3.25</v>
      </c>
      <c r="F67" s="52">
        <f>(D13-C57)^2+(E13-D57)^2+(F13-E57)^2+(G13-F57)^2+(H13-G57)^2+(I13-H57)^2+(J13-I57)^2</f>
        <v>16</v>
      </c>
      <c r="G67" s="52">
        <f t="shared" si="16"/>
        <v>5.4313902456001077</v>
      </c>
      <c r="H67" s="52">
        <f t="shared" si="17"/>
        <v>1.8027756377319946</v>
      </c>
      <c r="I67" s="52">
        <f t="shared" si="18"/>
        <v>4</v>
      </c>
      <c r="J67" s="53" t="str">
        <f t="shared" si="19"/>
        <v>K2</v>
      </c>
      <c r="K67" s="54" t="str">
        <f t="shared" si="20"/>
        <v>SAMA ✔</v>
      </c>
    </row>
    <row r="68" spans="2:18" ht="15" customHeight="1" x14ac:dyDescent="0.25">
      <c r="B68" s="6">
        <v>9</v>
      </c>
      <c r="C68" s="7" t="str">
        <f t="shared" si="15"/>
        <v>Indra Kusuma</v>
      </c>
      <c r="D68" s="49">
        <f>(D14-C55)^2+(E14-D55)^2+(F14-E55)^2+(G14-F55)^2+(H14-G55)^2+(I14-H55)^2+(J14-I55)^2</f>
        <v>2</v>
      </c>
      <c r="E68" s="49">
        <f>(D14-C56)^2+(E14-D56)^2+(F14-E56)^2+(G14-F56)^2+(H14-G56)^2+(I14-H56)^2+(J14-I56)^2</f>
        <v>17.25</v>
      </c>
      <c r="F68" s="49">
        <f>(D14-C57)^2+(E14-D57)^2+(F14-E57)^2+(G14-F57)^2+(H14-G57)^2+(I14-H57)^2+(J14-I57)^2</f>
        <v>84</v>
      </c>
      <c r="G68" s="49">
        <f t="shared" si="16"/>
        <v>1.4142135623730951</v>
      </c>
      <c r="H68" s="49">
        <f t="shared" si="17"/>
        <v>4.1533119314590374</v>
      </c>
      <c r="I68" s="49">
        <f t="shared" si="18"/>
        <v>9.1651513899116797</v>
      </c>
      <c r="J68" s="50" t="str">
        <f t="shared" si="19"/>
        <v>K1</v>
      </c>
      <c r="K68" s="51" t="str">
        <f t="shared" si="20"/>
        <v>SAMA ✔</v>
      </c>
    </row>
    <row r="69" spans="2:18" ht="15" customHeight="1" x14ac:dyDescent="0.25">
      <c r="B69" s="10">
        <v>10</v>
      </c>
      <c r="C69" s="11" t="str">
        <f t="shared" si="15"/>
        <v>Joko Purnomo</v>
      </c>
      <c r="D69" s="52">
        <f>(D15-C55)^2+(E15-D55)^2+(F15-E55)^2+(G15-F55)^2+(H15-G55)^2+(I15-H55)^2+(J15-I55)^2</f>
        <v>105.5</v>
      </c>
      <c r="E69" s="52">
        <f>(D15-C56)^2+(E15-D56)^2+(F15-E56)^2+(G15-F56)^2+(H15-G56)^2+(I15-H56)^2+(J15-I56)^2</f>
        <v>41.25</v>
      </c>
      <c r="F69" s="52">
        <f>(D15-C57)^2+(E15-D57)^2+(F15-E57)^2+(G15-F57)^2+(H15-G57)^2+(I15-H57)^2+(J15-I57)^2</f>
        <v>3</v>
      </c>
      <c r="G69" s="52">
        <f t="shared" si="16"/>
        <v>10.271319292087069</v>
      </c>
      <c r="H69" s="52">
        <f t="shared" si="17"/>
        <v>6.4226162893325647</v>
      </c>
      <c r="I69" s="52">
        <f t="shared" si="18"/>
        <v>1.7320508075688772</v>
      </c>
      <c r="J69" s="53" t="str">
        <f t="shared" si="19"/>
        <v>K3</v>
      </c>
      <c r="K69" s="54" t="str">
        <f t="shared" si="20"/>
        <v>SAMA ✔</v>
      </c>
    </row>
    <row r="70" spans="2:18" ht="15" customHeight="1" x14ac:dyDescent="0.25">
      <c r="B70" s="116" t="s">
        <v>79</v>
      </c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</row>
    <row r="71" spans="2:18" ht="15" customHeight="1" x14ac:dyDescent="0.25">
      <c r="B71" s="117" t="s">
        <v>80</v>
      </c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</row>
    <row r="72" spans="2:18" ht="25.5" customHeight="1" x14ac:dyDescent="0.25">
      <c r="B72" s="5" t="s">
        <v>67</v>
      </c>
      <c r="C72" s="5" t="s">
        <v>39</v>
      </c>
      <c r="D72" s="5" t="s">
        <v>40</v>
      </c>
      <c r="E72" s="5" t="s">
        <v>41</v>
      </c>
      <c r="F72" s="5" t="s">
        <v>42</v>
      </c>
      <c r="G72" s="5" t="s">
        <v>43</v>
      </c>
      <c r="H72" s="5" t="s">
        <v>44</v>
      </c>
      <c r="I72" s="5" t="s">
        <v>45</v>
      </c>
      <c r="J72" s="5" t="s">
        <v>81</v>
      </c>
      <c r="K72" s="5" t="s">
        <v>82</v>
      </c>
    </row>
    <row r="73" spans="2:18" ht="25.5" customHeight="1" x14ac:dyDescent="0.25">
      <c r="B73" s="36" t="s">
        <v>70</v>
      </c>
      <c r="C73" s="37">
        <f t="shared" ref="C73:I75" si="21">C55</f>
        <v>8.5</v>
      </c>
      <c r="D73" s="37">
        <f t="shared" si="21"/>
        <v>8.25</v>
      </c>
      <c r="E73" s="37">
        <f t="shared" si="21"/>
        <v>8.5</v>
      </c>
      <c r="F73" s="37">
        <f t="shared" si="21"/>
        <v>8.5</v>
      </c>
      <c r="G73" s="37">
        <f t="shared" si="21"/>
        <v>8.75</v>
      </c>
      <c r="H73" s="37">
        <f t="shared" si="21"/>
        <v>8.25</v>
      </c>
      <c r="I73" s="37">
        <f t="shared" si="21"/>
        <v>8.25</v>
      </c>
      <c r="J73" s="38">
        <f>COUNTIF(J60:J69,"K1")</f>
        <v>4</v>
      </c>
      <c r="K73" s="56" t="s">
        <v>83</v>
      </c>
    </row>
    <row r="74" spans="2:18" ht="25.5" customHeight="1" x14ac:dyDescent="0.25">
      <c r="B74" s="40" t="s">
        <v>72</v>
      </c>
      <c r="C74" s="41">
        <f t="shared" si="21"/>
        <v>6.5</v>
      </c>
      <c r="D74" s="41">
        <f t="shared" si="21"/>
        <v>7</v>
      </c>
      <c r="E74" s="41">
        <f t="shared" si="21"/>
        <v>7</v>
      </c>
      <c r="F74" s="41">
        <f t="shared" si="21"/>
        <v>7</v>
      </c>
      <c r="G74" s="41">
        <f t="shared" si="21"/>
        <v>7</v>
      </c>
      <c r="H74" s="41">
        <f t="shared" si="21"/>
        <v>7</v>
      </c>
      <c r="I74" s="41">
        <f t="shared" si="21"/>
        <v>7</v>
      </c>
      <c r="J74" s="42">
        <f>COUNTIF(J60:J69,"K2")</f>
        <v>2</v>
      </c>
      <c r="K74" s="57" t="s">
        <v>84</v>
      </c>
    </row>
    <row r="75" spans="2:18" ht="25.5" customHeight="1" x14ac:dyDescent="0.25">
      <c r="B75" s="44" t="s">
        <v>74</v>
      </c>
      <c r="C75" s="45">
        <f t="shared" si="21"/>
        <v>5</v>
      </c>
      <c r="D75" s="45">
        <f t="shared" si="21"/>
        <v>5</v>
      </c>
      <c r="E75" s="45">
        <f t="shared" si="21"/>
        <v>5</v>
      </c>
      <c r="F75" s="45">
        <f t="shared" si="21"/>
        <v>5</v>
      </c>
      <c r="G75" s="45">
        <f t="shared" si="21"/>
        <v>5</v>
      </c>
      <c r="H75" s="45">
        <f t="shared" si="21"/>
        <v>5</v>
      </c>
      <c r="I75" s="45">
        <f t="shared" si="21"/>
        <v>5</v>
      </c>
      <c r="J75" s="46">
        <f>COUNTIF(J60:J69,"K3")</f>
        <v>4</v>
      </c>
      <c r="K75" s="58" t="s">
        <v>85</v>
      </c>
    </row>
    <row r="78" spans="2:18" ht="15" customHeight="1" x14ac:dyDescent="0.25">
      <c r="B78" s="118" t="s">
        <v>86</v>
      </c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</row>
    <row r="79" spans="2:18" ht="25.5" customHeight="1" x14ac:dyDescent="0.25">
      <c r="B79" s="5" t="s">
        <v>16</v>
      </c>
      <c r="C79" s="5" t="s">
        <v>17</v>
      </c>
      <c r="D79" s="5" t="s">
        <v>39</v>
      </c>
      <c r="E79" s="5" t="s">
        <v>40</v>
      </c>
      <c r="F79" s="5" t="s">
        <v>41</v>
      </c>
      <c r="G79" s="5" t="s">
        <v>42</v>
      </c>
      <c r="H79" s="5" t="s">
        <v>43</v>
      </c>
      <c r="I79" s="5" t="s">
        <v>44</v>
      </c>
      <c r="J79" s="5" t="s">
        <v>45</v>
      </c>
      <c r="K79" s="5" t="s">
        <v>87</v>
      </c>
      <c r="L79" s="5" t="s">
        <v>88</v>
      </c>
      <c r="M79" s="5" t="s">
        <v>89</v>
      </c>
      <c r="N79" s="5" t="s">
        <v>90</v>
      </c>
    </row>
    <row r="80" spans="2:18" ht="15" customHeight="1" x14ac:dyDescent="0.25">
      <c r="B80" s="6">
        <v>1</v>
      </c>
      <c r="C80" s="7" t="str">
        <f t="shared" ref="C80:L80" si="22">C6</f>
        <v>Andi Setiawan</v>
      </c>
      <c r="D80" s="8">
        <f t="shared" si="22"/>
        <v>8</v>
      </c>
      <c r="E80" s="8">
        <f t="shared" si="22"/>
        <v>7</v>
      </c>
      <c r="F80" s="8">
        <f t="shared" si="22"/>
        <v>9</v>
      </c>
      <c r="G80" s="8">
        <f t="shared" si="22"/>
        <v>8</v>
      </c>
      <c r="H80" s="8">
        <f t="shared" si="22"/>
        <v>9</v>
      </c>
      <c r="I80" s="8">
        <f t="shared" si="22"/>
        <v>7</v>
      </c>
      <c r="J80" s="8">
        <f t="shared" si="22"/>
        <v>8</v>
      </c>
      <c r="K80" s="8">
        <f t="shared" si="22"/>
        <v>56</v>
      </c>
      <c r="L80" s="9">
        <f t="shared" si="22"/>
        <v>8</v>
      </c>
      <c r="M80" s="50" t="str">
        <f t="shared" ref="M80:M89" si="23">J60</f>
        <v>K1</v>
      </c>
      <c r="N80" s="50" t="str">
        <f t="shared" ref="N80:N89" si="24">IF(M80="K1","TINGGI",IF(M80="K2","SEDANG","RENDAH"))</f>
        <v>TINGGI</v>
      </c>
    </row>
    <row r="81" spans="2:14" ht="15" customHeight="1" x14ac:dyDescent="0.25">
      <c r="B81" s="10">
        <v>2</v>
      </c>
      <c r="C81" s="11" t="str">
        <f t="shared" ref="C81:L81" si="25">C7</f>
        <v>Budi Santoso</v>
      </c>
      <c r="D81" s="12">
        <f t="shared" si="25"/>
        <v>5</v>
      </c>
      <c r="E81" s="12">
        <f t="shared" si="25"/>
        <v>6</v>
      </c>
      <c r="F81" s="12">
        <f t="shared" si="25"/>
        <v>5</v>
      </c>
      <c r="G81" s="12">
        <f t="shared" si="25"/>
        <v>6</v>
      </c>
      <c r="H81" s="12">
        <f t="shared" si="25"/>
        <v>5</v>
      </c>
      <c r="I81" s="12">
        <f t="shared" si="25"/>
        <v>6</v>
      </c>
      <c r="J81" s="12">
        <f t="shared" si="25"/>
        <v>5</v>
      </c>
      <c r="K81" s="12">
        <f t="shared" si="25"/>
        <v>38</v>
      </c>
      <c r="L81" s="13">
        <f t="shared" si="25"/>
        <v>5.4285714285714288</v>
      </c>
      <c r="M81" s="53" t="str">
        <f t="shared" si="23"/>
        <v>K3</v>
      </c>
      <c r="N81" s="53" t="str">
        <f t="shared" si="24"/>
        <v>RENDAH</v>
      </c>
    </row>
    <row r="82" spans="2:14" ht="15" customHeight="1" x14ac:dyDescent="0.25">
      <c r="B82" s="6">
        <v>3</v>
      </c>
      <c r="C82" s="7" t="str">
        <f t="shared" ref="C82:L82" si="26">C8</f>
        <v>Citra Dewi</v>
      </c>
      <c r="D82" s="8">
        <f t="shared" si="26"/>
        <v>9</v>
      </c>
      <c r="E82" s="8">
        <f t="shared" si="26"/>
        <v>9</v>
      </c>
      <c r="F82" s="8">
        <f t="shared" si="26"/>
        <v>8</v>
      </c>
      <c r="G82" s="8">
        <f t="shared" si="26"/>
        <v>9</v>
      </c>
      <c r="H82" s="8">
        <f t="shared" si="26"/>
        <v>9</v>
      </c>
      <c r="I82" s="8">
        <f t="shared" si="26"/>
        <v>8</v>
      </c>
      <c r="J82" s="8">
        <f t="shared" si="26"/>
        <v>9</v>
      </c>
      <c r="K82" s="8">
        <f t="shared" si="26"/>
        <v>61</v>
      </c>
      <c r="L82" s="9">
        <f t="shared" si="26"/>
        <v>8.7142857142857135</v>
      </c>
      <c r="M82" s="50" t="str">
        <f t="shared" si="23"/>
        <v>K1</v>
      </c>
      <c r="N82" s="50" t="str">
        <f t="shared" si="24"/>
        <v>TINGGI</v>
      </c>
    </row>
    <row r="83" spans="2:14" ht="15" customHeight="1" x14ac:dyDescent="0.25">
      <c r="B83" s="10">
        <v>4</v>
      </c>
      <c r="C83" s="11" t="str">
        <f t="shared" ref="C83:L83" si="27">C9</f>
        <v>Dian Pratiwi</v>
      </c>
      <c r="D83" s="12">
        <f t="shared" si="27"/>
        <v>6</v>
      </c>
      <c r="E83" s="12">
        <f t="shared" si="27"/>
        <v>5</v>
      </c>
      <c r="F83" s="12">
        <f t="shared" si="27"/>
        <v>6</v>
      </c>
      <c r="G83" s="12">
        <f t="shared" si="27"/>
        <v>5</v>
      </c>
      <c r="H83" s="12">
        <f t="shared" si="27"/>
        <v>6</v>
      </c>
      <c r="I83" s="12">
        <f t="shared" si="27"/>
        <v>5</v>
      </c>
      <c r="J83" s="12">
        <f t="shared" si="27"/>
        <v>6</v>
      </c>
      <c r="K83" s="12">
        <f t="shared" si="27"/>
        <v>39</v>
      </c>
      <c r="L83" s="13">
        <f t="shared" si="27"/>
        <v>5.5714285714285712</v>
      </c>
      <c r="M83" s="53" t="str">
        <f t="shared" si="23"/>
        <v>K3</v>
      </c>
      <c r="N83" s="53" t="str">
        <f t="shared" si="24"/>
        <v>RENDAH</v>
      </c>
    </row>
    <row r="84" spans="2:14" ht="15" customHeight="1" x14ac:dyDescent="0.25">
      <c r="B84" s="6">
        <v>5</v>
      </c>
      <c r="C84" s="7" t="str">
        <f t="shared" ref="C84:L84" si="28">C10</f>
        <v>Eko Wahyudi</v>
      </c>
      <c r="D84" s="8">
        <f t="shared" si="28"/>
        <v>7</v>
      </c>
      <c r="E84" s="8">
        <f t="shared" si="28"/>
        <v>8</v>
      </c>
      <c r="F84" s="8">
        <f t="shared" si="28"/>
        <v>7</v>
      </c>
      <c r="G84" s="8">
        <f t="shared" si="28"/>
        <v>8</v>
      </c>
      <c r="H84" s="8">
        <f t="shared" si="28"/>
        <v>7</v>
      </c>
      <c r="I84" s="8">
        <f t="shared" si="28"/>
        <v>8</v>
      </c>
      <c r="J84" s="8">
        <f t="shared" si="28"/>
        <v>7</v>
      </c>
      <c r="K84" s="8">
        <f t="shared" si="28"/>
        <v>52</v>
      </c>
      <c r="L84" s="9">
        <f t="shared" si="28"/>
        <v>7.4285714285714288</v>
      </c>
      <c r="M84" s="50" t="str">
        <f t="shared" si="23"/>
        <v>K2</v>
      </c>
      <c r="N84" s="50" t="str">
        <f t="shared" si="24"/>
        <v>SEDANG</v>
      </c>
    </row>
    <row r="85" spans="2:14" ht="15" customHeight="1" x14ac:dyDescent="0.25">
      <c r="B85" s="10">
        <v>6</v>
      </c>
      <c r="C85" s="11" t="str">
        <f t="shared" ref="C85:L85" si="29">C11</f>
        <v>Fitri Handayani</v>
      </c>
      <c r="D85" s="12">
        <f t="shared" si="29"/>
        <v>4</v>
      </c>
      <c r="E85" s="12">
        <f t="shared" si="29"/>
        <v>5</v>
      </c>
      <c r="F85" s="12">
        <f t="shared" si="29"/>
        <v>4</v>
      </c>
      <c r="G85" s="12">
        <f t="shared" si="29"/>
        <v>5</v>
      </c>
      <c r="H85" s="12">
        <f t="shared" si="29"/>
        <v>4</v>
      </c>
      <c r="I85" s="12">
        <f t="shared" si="29"/>
        <v>5</v>
      </c>
      <c r="J85" s="12">
        <f t="shared" si="29"/>
        <v>4</v>
      </c>
      <c r="K85" s="12">
        <f t="shared" si="29"/>
        <v>31</v>
      </c>
      <c r="L85" s="13">
        <f t="shared" si="29"/>
        <v>4.4285714285714288</v>
      </c>
      <c r="M85" s="53" t="str">
        <f t="shared" si="23"/>
        <v>K3</v>
      </c>
      <c r="N85" s="53" t="str">
        <f t="shared" si="24"/>
        <v>RENDAH</v>
      </c>
    </row>
    <row r="86" spans="2:14" ht="15" customHeight="1" x14ac:dyDescent="0.25">
      <c r="B86" s="6">
        <v>7</v>
      </c>
      <c r="C86" s="7" t="str">
        <f t="shared" ref="C86:L86" si="30">C12</f>
        <v>Galih Nugroho</v>
      </c>
      <c r="D86" s="8">
        <f t="shared" si="30"/>
        <v>9</v>
      </c>
      <c r="E86" s="8">
        <f t="shared" si="30"/>
        <v>8</v>
      </c>
      <c r="F86" s="8">
        <f t="shared" si="30"/>
        <v>9</v>
      </c>
      <c r="G86" s="8">
        <f t="shared" si="30"/>
        <v>9</v>
      </c>
      <c r="H86" s="8">
        <f t="shared" si="30"/>
        <v>8</v>
      </c>
      <c r="I86" s="8">
        <f t="shared" si="30"/>
        <v>9</v>
      </c>
      <c r="J86" s="8">
        <f t="shared" si="30"/>
        <v>8</v>
      </c>
      <c r="K86" s="8">
        <f t="shared" si="30"/>
        <v>60</v>
      </c>
      <c r="L86" s="9">
        <f t="shared" si="30"/>
        <v>8.5714285714285712</v>
      </c>
      <c r="M86" s="50" t="str">
        <f t="shared" si="23"/>
        <v>K1</v>
      </c>
      <c r="N86" s="50" t="str">
        <f t="shared" si="24"/>
        <v>TINGGI</v>
      </c>
    </row>
    <row r="87" spans="2:14" ht="15" customHeight="1" x14ac:dyDescent="0.25">
      <c r="B87" s="10">
        <v>8</v>
      </c>
      <c r="C87" s="11" t="str">
        <f t="shared" ref="C87:L87" si="31">C13</f>
        <v>Hana Putri</v>
      </c>
      <c r="D87" s="12">
        <f t="shared" si="31"/>
        <v>6</v>
      </c>
      <c r="E87" s="12">
        <f t="shared" si="31"/>
        <v>6</v>
      </c>
      <c r="F87" s="12">
        <f t="shared" si="31"/>
        <v>7</v>
      </c>
      <c r="G87" s="12">
        <f t="shared" si="31"/>
        <v>6</v>
      </c>
      <c r="H87" s="12">
        <f t="shared" si="31"/>
        <v>7</v>
      </c>
      <c r="I87" s="12">
        <f t="shared" si="31"/>
        <v>6</v>
      </c>
      <c r="J87" s="12">
        <f t="shared" si="31"/>
        <v>7</v>
      </c>
      <c r="K87" s="12">
        <f t="shared" si="31"/>
        <v>45</v>
      </c>
      <c r="L87" s="13">
        <f t="shared" si="31"/>
        <v>6.4285714285714288</v>
      </c>
      <c r="M87" s="53" t="str">
        <f t="shared" si="23"/>
        <v>K2</v>
      </c>
      <c r="N87" s="53" t="str">
        <f t="shared" si="24"/>
        <v>SEDANG</v>
      </c>
    </row>
    <row r="88" spans="2:14" ht="15" customHeight="1" x14ac:dyDescent="0.25">
      <c r="B88" s="6">
        <v>9</v>
      </c>
      <c r="C88" s="7" t="str">
        <f t="shared" ref="C88:L88" si="32">C14</f>
        <v>Indra Kusuma</v>
      </c>
      <c r="D88" s="8">
        <f t="shared" si="32"/>
        <v>8</v>
      </c>
      <c r="E88" s="8">
        <f t="shared" si="32"/>
        <v>9</v>
      </c>
      <c r="F88" s="8">
        <f t="shared" si="32"/>
        <v>8</v>
      </c>
      <c r="G88" s="8">
        <f t="shared" si="32"/>
        <v>8</v>
      </c>
      <c r="H88" s="8">
        <f t="shared" si="32"/>
        <v>9</v>
      </c>
      <c r="I88" s="8">
        <f t="shared" si="32"/>
        <v>9</v>
      </c>
      <c r="J88" s="8">
        <f t="shared" si="32"/>
        <v>8</v>
      </c>
      <c r="K88" s="8">
        <f t="shared" si="32"/>
        <v>59</v>
      </c>
      <c r="L88" s="9">
        <f t="shared" si="32"/>
        <v>8.4285714285714288</v>
      </c>
      <c r="M88" s="50" t="str">
        <f t="shared" si="23"/>
        <v>K1</v>
      </c>
      <c r="N88" s="50" t="str">
        <f t="shared" si="24"/>
        <v>TINGGI</v>
      </c>
    </row>
    <row r="89" spans="2:14" ht="15" customHeight="1" x14ac:dyDescent="0.25">
      <c r="B89" s="10">
        <v>10</v>
      </c>
      <c r="C89" s="11" t="str">
        <f t="shared" ref="C89:L89" si="33">C15</f>
        <v>Joko Purnomo</v>
      </c>
      <c r="D89" s="12">
        <f t="shared" si="33"/>
        <v>5</v>
      </c>
      <c r="E89" s="12">
        <f t="shared" si="33"/>
        <v>4</v>
      </c>
      <c r="F89" s="12">
        <f t="shared" si="33"/>
        <v>5</v>
      </c>
      <c r="G89" s="12">
        <f t="shared" si="33"/>
        <v>4</v>
      </c>
      <c r="H89" s="12">
        <f t="shared" si="33"/>
        <v>5</v>
      </c>
      <c r="I89" s="12">
        <f t="shared" si="33"/>
        <v>4</v>
      </c>
      <c r="J89" s="12">
        <f t="shared" si="33"/>
        <v>5</v>
      </c>
      <c r="K89" s="12">
        <f t="shared" si="33"/>
        <v>32</v>
      </c>
      <c r="L89" s="13">
        <f t="shared" si="33"/>
        <v>4.5714285714285712</v>
      </c>
      <c r="M89" s="53" t="str">
        <f t="shared" si="23"/>
        <v>K3</v>
      </c>
      <c r="N89" s="53" t="str">
        <f t="shared" si="24"/>
        <v>RENDAH</v>
      </c>
    </row>
  </sheetData>
  <mergeCells count="13">
    <mergeCell ref="B1:R1"/>
    <mergeCell ref="B2:R2"/>
    <mergeCell ref="B4:R4"/>
    <mergeCell ref="B17:R17"/>
    <mergeCell ref="B23:R23"/>
    <mergeCell ref="B70:R70"/>
    <mergeCell ref="B71:R71"/>
    <mergeCell ref="B78:R78"/>
    <mergeCell ref="B24:R24"/>
    <mergeCell ref="B36:R36"/>
    <mergeCell ref="B41:R41"/>
    <mergeCell ref="B53:R53"/>
    <mergeCell ref="B58:R5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3"/>
  <sheetViews>
    <sheetView topLeftCell="A40" zoomScaleNormal="100" workbookViewId="0">
      <selection activeCell="P20" sqref="P20"/>
    </sheetView>
  </sheetViews>
  <sheetFormatPr defaultColWidth="8.7109375" defaultRowHeight="15" x14ac:dyDescent="0.25"/>
  <cols>
    <col min="1" max="1" width="8.7109375" style="1"/>
    <col min="2" max="2" width="3.42578125" style="1" bestFit="1" customWidth="1"/>
    <col min="3" max="3" width="14.5703125" style="1" bestFit="1" customWidth="1"/>
    <col min="4" max="4" width="7.28515625" style="1" bestFit="1" customWidth="1"/>
    <col min="5" max="5" width="12" style="1" bestFit="1" customWidth="1"/>
    <col min="6" max="6" width="14.85546875" style="1" bestFit="1" customWidth="1"/>
    <col min="7" max="7" width="12.5703125" style="1" bestFit="1" customWidth="1"/>
    <col min="8" max="8" width="13.42578125" style="1" bestFit="1" customWidth="1"/>
    <col min="9" max="9" width="15.5703125" style="1" bestFit="1" customWidth="1"/>
    <col min="10" max="10" width="15" style="1" bestFit="1" customWidth="1"/>
    <col min="11" max="11" width="7.28515625" style="1" bestFit="1" customWidth="1"/>
    <col min="12" max="12" width="8.7109375" style="1"/>
    <col min="13" max="13" width="5" style="1" customWidth="1"/>
    <col min="14" max="14" width="22" style="1" customWidth="1"/>
    <col min="15" max="24" width="9" style="1" customWidth="1"/>
    <col min="25" max="30" width="14" style="1" customWidth="1"/>
    <col min="31" max="31" width="18" style="1" customWidth="1"/>
    <col min="32" max="16384" width="8.7109375" style="1"/>
  </cols>
  <sheetData>
    <row r="1" spans="2:31" ht="21.75" customHeight="1" x14ac:dyDescent="0.25">
      <c r="B1" s="129" t="s">
        <v>91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</row>
    <row r="2" spans="2:31" ht="18" customHeight="1" x14ac:dyDescent="0.25">
      <c r="B2" s="130" t="s">
        <v>92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</row>
    <row r="4" spans="2:31" ht="15" customHeight="1" x14ac:dyDescent="0.25">
      <c r="B4" s="126" t="s">
        <v>93</v>
      </c>
      <c r="C4" s="126"/>
      <c r="D4" s="126"/>
      <c r="E4" s="126"/>
      <c r="F4" s="126"/>
      <c r="G4" s="126"/>
      <c r="H4" s="126"/>
      <c r="I4" s="126"/>
      <c r="J4" s="126"/>
      <c r="K4" s="126"/>
    </row>
    <row r="5" spans="2:31" ht="13.5" customHeight="1" x14ac:dyDescent="0.25">
      <c r="B5" s="101" t="s">
        <v>16</v>
      </c>
      <c r="C5" s="101" t="s">
        <v>17</v>
      </c>
      <c r="D5" s="101" t="s">
        <v>39</v>
      </c>
      <c r="E5" s="101" t="s">
        <v>40</v>
      </c>
      <c r="F5" s="101" t="s">
        <v>41</v>
      </c>
      <c r="G5" s="101" t="s">
        <v>42</v>
      </c>
      <c r="H5" s="101" t="s">
        <v>43</v>
      </c>
      <c r="I5" s="101" t="s">
        <v>44</v>
      </c>
      <c r="J5" s="101" t="s">
        <v>45</v>
      </c>
      <c r="K5" s="101" t="s">
        <v>67</v>
      </c>
    </row>
    <row r="6" spans="2:31" ht="13.5" customHeight="1" x14ac:dyDescent="0.25">
      <c r="B6" s="102">
        <f>'TAHAP 1 – K-MEANS'!B6</f>
        <v>1</v>
      </c>
      <c r="C6" s="103" t="str">
        <f>'TAHAP 1 – K-MEANS'!C6</f>
        <v>Andi Setiawan</v>
      </c>
      <c r="D6" s="104">
        <f>'TAHAP 1 – K-MEANS'!D6</f>
        <v>8</v>
      </c>
      <c r="E6" s="104">
        <f>'TAHAP 1 – K-MEANS'!E6</f>
        <v>7</v>
      </c>
      <c r="F6" s="104">
        <f>'TAHAP 1 – K-MEANS'!F6</f>
        <v>9</v>
      </c>
      <c r="G6" s="104">
        <f>'TAHAP 1 – K-MEANS'!G6</f>
        <v>8</v>
      </c>
      <c r="H6" s="104">
        <f>'TAHAP 1 – K-MEANS'!H6</f>
        <v>9</v>
      </c>
      <c r="I6" s="104">
        <f>'TAHAP 1 – K-MEANS'!I6</f>
        <v>7</v>
      </c>
      <c r="J6" s="104">
        <f>'TAHAP 1 – K-MEANS'!J6</f>
        <v>8</v>
      </c>
      <c r="K6" s="105" t="str">
        <f>'TAHAP 1 – K-MEANS'!M80</f>
        <v>K1</v>
      </c>
    </row>
    <row r="7" spans="2:31" ht="13.5" customHeight="1" x14ac:dyDescent="0.25">
      <c r="B7" s="102">
        <f>'TAHAP 1 – K-MEANS'!B7</f>
        <v>2</v>
      </c>
      <c r="C7" s="103" t="str">
        <f>'TAHAP 1 – K-MEANS'!C7</f>
        <v>Budi Santoso</v>
      </c>
      <c r="D7" s="104">
        <f>'TAHAP 1 – K-MEANS'!D7</f>
        <v>5</v>
      </c>
      <c r="E7" s="104">
        <f>'TAHAP 1 – K-MEANS'!E7</f>
        <v>6</v>
      </c>
      <c r="F7" s="104">
        <f>'TAHAP 1 – K-MEANS'!F7</f>
        <v>5</v>
      </c>
      <c r="G7" s="104">
        <f>'TAHAP 1 – K-MEANS'!G7</f>
        <v>6</v>
      </c>
      <c r="H7" s="104">
        <f>'TAHAP 1 – K-MEANS'!H7</f>
        <v>5</v>
      </c>
      <c r="I7" s="104">
        <f>'TAHAP 1 – K-MEANS'!I7</f>
        <v>6</v>
      </c>
      <c r="J7" s="104">
        <f>'TAHAP 1 – K-MEANS'!J7</f>
        <v>5</v>
      </c>
      <c r="K7" s="105" t="str">
        <f>'TAHAP 1 – K-MEANS'!M81</f>
        <v>K3</v>
      </c>
    </row>
    <row r="8" spans="2:31" ht="13.5" customHeight="1" x14ac:dyDescent="0.25">
      <c r="B8" s="102">
        <f>'TAHAP 1 – K-MEANS'!B8</f>
        <v>3</v>
      </c>
      <c r="C8" s="103" t="str">
        <f>'TAHAP 1 – K-MEANS'!C8</f>
        <v>Citra Dewi</v>
      </c>
      <c r="D8" s="104">
        <f>'TAHAP 1 – K-MEANS'!D8</f>
        <v>9</v>
      </c>
      <c r="E8" s="104">
        <f>'TAHAP 1 – K-MEANS'!E8</f>
        <v>9</v>
      </c>
      <c r="F8" s="104">
        <f>'TAHAP 1 – K-MEANS'!F8</f>
        <v>8</v>
      </c>
      <c r="G8" s="104">
        <f>'TAHAP 1 – K-MEANS'!G8</f>
        <v>9</v>
      </c>
      <c r="H8" s="104">
        <f>'TAHAP 1 – K-MEANS'!H8</f>
        <v>9</v>
      </c>
      <c r="I8" s="104">
        <f>'TAHAP 1 – K-MEANS'!I8</f>
        <v>8</v>
      </c>
      <c r="J8" s="104">
        <f>'TAHAP 1 – K-MEANS'!J8</f>
        <v>9</v>
      </c>
      <c r="K8" s="105" t="str">
        <f>'TAHAP 1 – K-MEANS'!M82</f>
        <v>K1</v>
      </c>
    </row>
    <row r="9" spans="2:31" ht="13.5" customHeight="1" x14ac:dyDescent="0.25">
      <c r="B9" s="102">
        <f>'TAHAP 1 – K-MEANS'!B9</f>
        <v>4</v>
      </c>
      <c r="C9" s="103" t="str">
        <f>'TAHAP 1 – K-MEANS'!C9</f>
        <v>Dian Pratiwi</v>
      </c>
      <c r="D9" s="104">
        <f>'TAHAP 1 – K-MEANS'!D9</f>
        <v>6</v>
      </c>
      <c r="E9" s="104">
        <f>'TAHAP 1 – K-MEANS'!E9</f>
        <v>5</v>
      </c>
      <c r="F9" s="104">
        <f>'TAHAP 1 – K-MEANS'!F9</f>
        <v>6</v>
      </c>
      <c r="G9" s="104">
        <f>'TAHAP 1 – K-MEANS'!G9</f>
        <v>5</v>
      </c>
      <c r="H9" s="104">
        <f>'TAHAP 1 – K-MEANS'!H9</f>
        <v>6</v>
      </c>
      <c r="I9" s="104">
        <f>'TAHAP 1 – K-MEANS'!I9</f>
        <v>5</v>
      </c>
      <c r="J9" s="104">
        <f>'TAHAP 1 – K-MEANS'!J9</f>
        <v>6</v>
      </c>
      <c r="K9" s="105" t="str">
        <f>'TAHAP 1 – K-MEANS'!M83</f>
        <v>K3</v>
      </c>
    </row>
    <row r="10" spans="2:31" ht="13.5" customHeight="1" x14ac:dyDescent="0.25">
      <c r="B10" s="102">
        <f>'TAHAP 1 – K-MEANS'!B10</f>
        <v>5</v>
      </c>
      <c r="C10" s="103" t="str">
        <f>'TAHAP 1 – K-MEANS'!C10</f>
        <v>Eko Wahyudi</v>
      </c>
      <c r="D10" s="104">
        <f>'TAHAP 1 – K-MEANS'!D10</f>
        <v>7</v>
      </c>
      <c r="E10" s="104">
        <f>'TAHAP 1 – K-MEANS'!E10</f>
        <v>8</v>
      </c>
      <c r="F10" s="104">
        <f>'TAHAP 1 – K-MEANS'!F10</f>
        <v>7</v>
      </c>
      <c r="G10" s="104">
        <f>'TAHAP 1 – K-MEANS'!G10</f>
        <v>8</v>
      </c>
      <c r="H10" s="104">
        <f>'TAHAP 1 – K-MEANS'!H10</f>
        <v>7</v>
      </c>
      <c r="I10" s="104">
        <f>'TAHAP 1 – K-MEANS'!I10</f>
        <v>8</v>
      </c>
      <c r="J10" s="104">
        <f>'TAHAP 1 – K-MEANS'!J10</f>
        <v>7</v>
      </c>
      <c r="K10" s="105" t="str">
        <f>'TAHAP 1 – K-MEANS'!M84</f>
        <v>K2</v>
      </c>
    </row>
    <row r="11" spans="2:31" ht="13.5" customHeight="1" x14ac:dyDescent="0.25">
      <c r="B11" s="102">
        <f>'TAHAP 1 – K-MEANS'!B11</f>
        <v>6</v>
      </c>
      <c r="C11" s="103" t="str">
        <f>'TAHAP 1 – K-MEANS'!C11</f>
        <v>Fitri Handayani</v>
      </c>
      <c r="D11" s="104">
        <f>'TAHAP 1 – K-MEANS'!D11</f>
        <v>4</v>
      </c>
      <c r="E11" s="104">
        <f>'TAHAP 1 – K-MEANS'!E11</f>
        <v>5</v>
      </c>
      <c r="F11" s="104">
        <f>'TAHAP 1 – K-MEANS'!F11</f>
        <v>4</v>
      </c>
      <c r="G11" s="104">
        <f>'TAHAP 1 – K-MEANS'!G11</f>
        <v>5</v>
      </c>
      <c r="H11" s="104">
        <f>'TAHAP 1 – K-MEANS'!H11</f>
        <v>4</v>
      </c>
      <c r="I11" s="104">
        <f>'TAHAP 1 – K-MEANS'!I11</f>
        <v>5</v>
      </c>
      <c r="J11" s="104">
        <f>'TAHAP 1 – K-MEANS'!J11</f>
        <v>4</v>
      </c>
      <c r="K11" s="105" t="str">
        <f>'TAHAP 1 – K-MEANS'!M85</f>
        <v>K3</v>
      </c>
    </row>
    <row r="12" spans="2:31" ht="13.5" customHeight="1" x14ac:dyDescent="0.25">
      <c r="B12" s="102">
        <f>'TAHAP 1 – K-MEANS'!B12</f>
        <v>7</v>
      </c>
      <c r="C12" s="103" t="str">
        <f>'TAHAP 1 – K-MEANS'!C12</f>
        <v>Galih Nugroho</v>
      </c>
      <c r="D12" s="104">
        <f>'TAHAP 1 – K-MEANS'!D12</f>
        <v>9</v>
      </c>
      <c r="E12" s="104">
        <f>'TAHAP 1 – K-MEANS'!E12</f>
        <v>8</v>
      </c>
      <c r="F12" s="104">
        <f>'TAHAP 1 – K-MEANS'!F12</f>
        <v>9</v>
      </c>
      <c r="G12" s="104">
        <f>'TAHAP 1 – K-MEANS'!G12</f>
        <v>9</v>
      </c>
      <c r="H12" s="104">
        <f>'TAHAP 1 – K-MEANS'!H12</f>
        <v>8</v>
      </c>
      <c r="I12" s="104">
        <f>'TAHAP 1 – K-MEANS'!I12</f>
        <v>9</v>
      </c>
      <c r="J12" s="104">
        <f>'TAHAP 1 – K-MEANS'!J12</f>
        <v>8</v>
      </c>
      <c r="K12" s="105" t="str">
        <f>'TAHAP 1 – K-MEANS'!M86</f>
        <v>K1</v>
      </c>
    </row>
    <row r="13" spans="2:31" ht="13.5" customHeight="1" x14ac:dyDescent="0.25">
      <c r="B13" s="102">
        <f>'TAHAP 1 – K-MEANS'!B13</f>
        <v>8</v>
      </c>
      <c r="C13" s="103" t="str">
        <f>'TAHAP 1 – K-MEANS'!C13</f>
        <v>Hana Putri</v>
      </c>
      <c r="D13" s="104">
        <f>'TAHAP 1 – K-MEANS'!D13</f>
        <v>6</v>
      </c>
      <c r="E13" s="104">
        <f>'TAHAP 1 – K-MEANS'!E13</f>
        <v>6</v>
      </c>
      <c r="F13" s="104">
        <f>'TAHAP 1 – K-MEANS'!F13</f>
        <v>7</v>
      </c>
      <c r="G13" s="104">
        <f>'TAHAP 1 – K-MEANS'!G13</f>
        <v>6</v>
      </c>
      <c r="H13" s="104">
        <f>'TAHAP 1 – K-MEANS'!H13</f>
        <v>7</v>
      </c>
      <c r="I13" s="104">
        <f>'TAHAP 1 – K-MEANS'!I13</f>
        <v>6</v>
      </c>
      <c r="J13" s="104">
        <f>'TAHAP 1 – K-MEANS'!J13</f>
        <v>7</v>
      </c>
      <c r="K13" s="105" t="str">
        <f>'TAHAP 1 – K-MEANS'!M87</f>
        <v>K2</v>
      </c>
    </row>
    <row r="14" spans="2:31" ht="13.5" customHeight="1" x14ac:dyDescent="0.25">
      <c r="B14" s="102">
        <f>'TAHAP 1 – K-MEANS'!B14</f>
        <v>9</v>
      </c>
      <c r="C14" s="103" t="str">
        <f>'TAHAP 1 – K-MEANS'!C14</f>
        <v>Indra Kusuma</v>
      </c>
      <c r="D14" s="104">
        <f>'TAHAP 1 – K-MEANS'!D14</f>
        <v>8</v>
      </c>
      <c r="E14" s="104">
        <f>'TAHAP 1 – K-MEANS'!E14</f>
        <v>9</v>
      </c>
      <c r="F14" s="104">
        <f>'TAHAP 1 – K-MEANS'!F14</f>
        <v>8</v>
      </c>
      <c r="G14" s="104">
        <f>'TAHAP 1 – K-MEANS'!G14</f>
        <v>8</v>
      </c>
      <c r="H14" s="104">
        <f>'TAHAP 1 – K-MEANS'!H14</f>
        <v>9</v>
      </c>
      <c r="I14" s="104">
        <f>'TAHAP 1 – K-MEANS'!I14</f>
        <v>9</v>
      </c>
      <c r="J14" s="104">
        <f>'TAHAP 1 – K-MEANS'!J14</f>
        <v>8</v>
      </c>
      <c r="K14" s="105" t="str">
        <f>'TAHAP 1 – K-MEANS'!M88</f>
        <v>K1</v>
      </c>
    </row>
    <row r="15" spans="2:31" ht="13.5" customHeight="1" x14ac:dyDescent="0.25">
      <c r="B15" s="102">
        <f>'TAHAP 1 – K-MEANS'!B15</f>
        <v>10</v>
      </c>
      <c r="C15" s="103" t="str">
        <f>'TAHAP 1 – K-MEANS'!C15</f>
        <v>Joko Purnomo</v>
      </c>
      <c r="D15" s="104">
        <f>'TAHAP 1 – K-MEANS'!D15</f>
        <v>5</v>
      </c>
      <c r="E15" s="104">
        <f>'TAHAP 1 – K-MEANS'!E15</f>
        <v>4</v>
      </c>
      <c r="F15" s="104">
        <f>'TAHAP 1 – K-MEANS'!F15</f>
        <v>5</v>
      </c>
      <c r="G15" s="104">
        <f>'TAHAP 1 – K-MEANS'!G15</f>
        <v>4</v>
      </c>
      <c r="H15" s="104">
        <f>'TAHAP 1 – K-MEANS'!H15</f>
        <v>5</v>
      </c>
      <c r="I15" s="104">
        <f>'TAHAP 1 – K-MEANS'!I15</f>
        <v>4</v>
      </c>
      <c r="J15" s="104">
        <f>'TAHAP 1 – K-MEANS'!J15</f>
        <v>5</v>
      </c>
      <c r="K15" s="105" t="str">
        <f>'TAHAP 1 – K-MEANS'!M89</f>
        <v>K3</v>
      </c>
    </row>
    <row r="18" spans="2:24" ht="15" customHeight="1" x14ac:dyDescent="0.25">
      <c r="M18" s="126" t="s">
        <v>94</v>
      </c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</row>
    <row r="19" spans="2:24" ht="13.5" customHeight="1" x14ac:dyDescent="0.25">
      <c r="M19" s="101" t="s">
        <v>95</v>
      </c>
      <c r="N19" s="101" t="s">
        <v>96</v>
      </c>
      <c r="O19" s="101" t="s">
        <v>97</v>
      </c>
      <c r="P19" s="101" t="s">
        <v>98</v>
      </c>
      <c r="Q19" s="101" t="s">
        <v>99</v>
      </c>
      <c r="R19" s="101" t="s">
        <v>100</v>
      </c>
      <c r="S19" s="101" t="s">
        <v>101</v>
      </c>
      <c r="T19" s="101" t="s">
        <v>102</v>
      </c>
      <c r="U19" s="101" t="s">
        <v>103</v>
      </c>
      <c r="V19" s="101" t="s">
        <v>104</v>
      </c>
      <c r="W19" s="101" t="s">
        <v>105</v>
      </c>
      <c r="X19" s="101" t="s">
        <v>106</v>
      </c>
    </row>
    <row r="20" spans="2:24" ht="13.5" customHeight="1" x14ac:dyDescent="0.25">
      <c r="M20" s="106">
        <f t="shared" ref="M20:M29" si="0">B6</f>
        <v>1</v>
      </c>
      <c r="N20" s="103" t="str">
        <f t="shared" ref="N20:N29" si="1">C6</f>
        <v>Andi Setiawan</v>
      </c>
      <c r="O20" s="107">
        <v>0</v>
      </c>
      <c r="P20" s="102">
        <f>SQRT((D6-D7)^2+(E6-E7)^2+(F6-F7)^2+(G6-G7)^2+(H6-H7)^2+(I6-I7)^2+(J6-J7)^2)</f>
        <v>7.4833147735478827</v>
      </c>
      <c r="Q20" s="102">
        <f>SQRT((D6-D8)^2+(E6-E8)^2+(F6-F8)^2+(G6-G8)^2+(H6-H8)^2+(I6-I8)^2+(J6-J8)^2)</f>
        <v>3</v>
      </c>
      <c r="R20" s="102">
        <f>SQRT((D6-D9)^2+(E6-E9)^2+(F6-F9)^2+(G6-G9)^2+(H6-H9)^2+(I6-I9)^2+(J6-J9)^2)</f>
        <v>6.5574385243020004</v>
      </c>
      <c r="S20" s="102">
        <f>SQRT((D6-D10)^2+(E6-E10)^2+(F6-F10)^2+(G6-G10)^2+(H6-H10)^2+(I6-I10)^2+(J6-J10)^2)</f>
        <v>3.4641016151377544</v>
      </c>
      <c r="T20" s="102">
        <f>SQRT((D6-D11)^2+(E6-E11)^2+(F6-F11)^2+(G6-G11)^2+(H6-H11)^2+(I6-I11)^2+(J6-J11)^2)</f>
        <v>9.9498743710661994</v>
      </c>
      <c r="U20" s="102">
        <f>SQRT((D6-D12)^2+(E6-E12)^2+(F6-F12)^2+(G6-G12)^2+(H6-H12)^2+(I6-I12)^2+(J6-J12)^2)</f>
        <v>2.8284271247461903</v>
      </c>
      <c r="V20" s="102">
        <f>SQRT((D6-D13)^2+(E6-E13)^2+(F6-F13)^2+(G6-G13)^2+(H6-H13)^2+(I6-I13)^2+(J6-J13)^2)</f>
        <v>4.358898943540674</v>
      </c>
      <c r="W20" s="102">
        <f>SQRT((D6-D14)^2+(E6-E14)^2+(F6-F14)^2+(G6-G14)^2+(H6-H14)^2+(I6-I14)^2+(J6-J14)^2)</f>
        <v>3</v>
      </c>
      <c r="X20" s="102">
        <f>SQRT((D6-D15)^2+(E6-E15)^2+(F6-F15)^2+(G6-G15)^2+(H6-H15)^2+(I6-I15)^2+(J6-J15)^2)</f>
        <v>9.1651513899116797</v>
      </c>
    </row>
    <row r="21" spans="2:24" ht="13.5" customHeight="1" x14ac:dyDescent="0.25">
      <c r="M21" s="106">
        <f t="shared" si="0"/>
        <v>2</v>
      </c>
      <c r="N21" s="103" t="str">
        <f t="shared" si="1"/>
        <v>Budi Santoso</v>
      </c>
      <c r="O21" s="102">
        <f>SQRT((D7-D6)^2+(E7-E6)^2+(F7-F6)^2+(G7-G6)^2+(H7-H6)^2+(I7-I6)^2+(J7-J6)^2)</f>
        <v>7.4833147735478827</v>
      </c>
      <c r="P21" s="107">
        <v>0</v>
      </c>
      <c r="Q21" s="102">
        <f>SQRT((D7-D8)^2+(E7-E8)^2+(F7-F8)^2+(G7-G8)^2+(H7-H8)^2+(I7-I8)^2+(J7-J8)^2)</f>
        <v>8.8881944173155887</v>
      </c>
      <c r="R21" s="102">
        <f>SQRT((D7-D9)^2+(E7-E9)^2+(F7-F9)^2+(G7-G9)^2+(H7-H9)^2+(I7-I9)^2+(J7-J9)^2)</f>
        <v>2.6457513110645907</v>
      </c>
      <c r="S21" s="102">
        <f>SQRT((D7-D10)^2+(E7-E10)^2+(F7-F10)^2+(G7-G10)^2+(H7-H10)^2+(I7-I10)^2+(J7-J10)^2)</f>
        <v>5.2915026221291814</v>
      </c>
      <c r="T21" s="102">
        <f>SQRT((D7-D11)^2+(E7-E11)^2+(F7-F11)^2+(G7-G11)^2+(H7-H11)^2+(I7-I11)^2+(J7-J11)^2)</f>
        <v>2.6457513110645907</v>
      </c>
      <c r="U21" s="102">
        <f>SQRT((D7-D12)^2+(E7-E12)^2+(F7-F12)^2+(G7-G12)^2+(H7-H12)^2+(I7-I12)^2+(J7-J12)^2)</f>
        <v>8.4852813742385695</v>
      </c>
      <c r="V21" s="102">
        <f>SQRT((D7-D13)^2+(E7-E13)^2+(F7-F13)^2+(G7-G13)^2+(H7-H13)^2+(I7-I13)^2+(J7-J13)^2)</f>
        <v>3.6055512754639891</v>
      </c>
      <c r="W21" s="102">
        <f>SQRT((D7-D14)^2+(E7-E14)^2+(F7-F14)^2+(G7-G14)^2+(H7-H14)^2+(I7-I14)^2+(J7-J14)^2)</f>
        <v>8.0622577482985491</v>
      </c>
      <c r="X21" s="102">
        <f>SQRT((D7-D15)^2+(E7-E15)^2+(F7-F15)^2+(G7-G15)^2+(H7-H15)^2+(I7-I15)^2+(J7-J15)^2)</f>
        <v>3.4641016151377544</v>
      </c>
    </row>
    <row r="22" spans="2:24" ht="13.5" customHeight="1" x14ac:dyDescent="0.25">
      <c r="M22" s="106">
        <f t="shared" si="0"/>
        <v>3</v>
      </c>
      <c r="N22" s="103" t="str">
        <f t="shared" si="1"/>
        <v>Citra Dewi</v>
      </c>
      <c r="O22" s="102">
        <f>SQRT((D8-D6)^2+(E8-E6)^2+(F8-F6)^2+(G8-G6)^2+(H8-H6)^2+(I8-I6)^2+(J8-J6)^2)</f>
        <v>3</v>
      </c>
      <c r="P22" s="102">
        <f>SQRT((D8-D7)^2+(E8-E7)^2+(F8-F7)^2+(G8-G7)^2+(H8-H7)^2+(I8-I7)^2+(J8-J7)^2)</f>
        <v>8.8881944173155887</v>
      </c>
      <c r="Q22" s="107">
        <v>0</v>
      </c>
      <c r="R22" s="102">
        <f>SQRT((D8-D9)^2+(E8-E9)^2+(F8-F9)^2+(G8-G9)^2+(H8-H9)^2+(I8-I9)^2+(J8-J9)^2)</f>
        <v>8.4852813742385695</v>
      </c>
      <c r="S22" s="102">
        <f>SQRT((D8-D10)^2+(E8-E10)^2+(F8-F10)^2+(G8-G10)^2+(H8-H10)^2+(I8-I10)^2+(J8-J10)^2)</f>
        <v>3.872983346207417</v>
      </c>
      <c r="T22" s="102">
        <f>SQRT((D8-D11)^2+(E8-E11)^2+(F8-F11)^2+(G8-G11)^2+(H8-H11)^2+(I8-I11)^2+(J8-J11)^2)</f>
        <v>11.489125293076057</v>
      </c>
      <c r="U22" s="102">
        <f>SQRT((D8-D12)^2+(E8-E12)^2+(F8-F12)^2+(G8-G12)^2+(H8-H12)^2+(I8-I12)^2+(J8-J12)^2)</f>
        <v>2.2360679774997898</v>
      </c>
      <c r="V22" s="102">
        <f>SQRT((D8-D13)^2+(E8-E13)^2+(F8-F13)^2+(G8-G13)^2+(H8-H13)^2+(I8-I13)^2+(J8-J13)^2)</f>
        <v>6.324555320336759</v>
      </c>
      <c r="W22" s="102">
        <f>SQRT((D8-D14)^2+(E8-E14)^2+(F8-F14)^2+(G8-G14)^2+(H8-H14)^2+(I8-I14)^2+(J8-J14)^2)</f>
        <v>2</v>
      </c>
      <c r="X22" s="102">
        <f>SQRT((D8-D15)^2+(E8-E15)^2+(F8-F15)^2+(G8-G15)^2+(H8-H15)^2+(I8-I15)^2+(J8-J15)^2)</f>
        <v>11.090536506409418</v>
      </c>
    </row>
    <row r="23" spans="2:24" ht="13.5" customHeight="1" x14ac:dyDescent="0.25">
      <c r="M23" s="106">
        <f t="shared" si="0"/>
        <v>4</v>
      </c>
      <c r="N23" s="103" t="str">
        <f t="shared" si="1"/>
        <v>Dian Pratiwi</v>
      </c>
      <c r="O23" s="102">
        <f>SQRT((D9-D6)^2+(E9-E6)^2+(F9-F6)^2+(G9-G6)^2+(H9-H6)^2+(I9-I6)^2+(J9-J6)^2)</f>
        <v>6.5574385243020004</v>
      </c>
      <c r="P23" s="102">
        <f>SQRT((D9-D7)^2+(E9-E7)^2+(F9-F7)^2+(G9-G7)^2+(H9-H7)^2+(I9-I7)^2+(J9-J7)^2)</f>
        <v>2.6457513110645907</v>
      </c>
      <c r="Q23" s="102">
        <f>SQRT((D9-D8)^2+(E9-E8)^2+(F9-F8)^2+(G9-G8)^2+(H9-H8)^2+(I9-I8)^2+(J9-J8)^2)</f>
        <v>8.4852813742385695</v>
      </c>
      <c r="R23" s="107">
        <v>0</v>
      </c>
      <c r="S23" s="102">
        <f>SQRT((D9-D10)^2+(E9-E10)^2+(F9-F10)^2+(G9-G10)^2+(H9-H10)^2+(I9-I10)^2+(J9-J10)^2)</f>
        <v>5.5677643628300215</v>
      </c>
      <c r="T23" s="102">
        <f>SQRT((D9-D11)^2+(E9-E11)^2+(F9-F11)^2+(G9-G11)^2+(H9-H11)^2+(I9-I11)^2+(J9-J11)^2)</f>
        <v>4</v>
      </c>
      <c r="U23" s="102">
        <f>SQRT((D9-D12)^2+(E9-E12)^2+(F9-F12)^2+(G9-G12)^2+(H9-H12)^2+(I9-I12)^2+(J9-J12)^2)</f>
        <v>8.1853527718724504</v>
      </c>
      <c r="V23" s="102">
        <f>SQRT((D9-D13)^2+(E9-E13)^2+(F9-F13)^2+(G9-G13)^2+(H9-H13)^2+(I9-I13)^2+(J9-J13)^2)</f>
        <v>2.4494897427831779</v>
      </c>
      <c r="W23" s="102">
        <f>SQRT((D9-D14)^2+(E9-E14)^2+(F9-F14)^2+(G9-G14)^2+(H9-H14)^2+(I9-I14)^2+(J9-J14)^2)</f>
        <v>7.8740078740118111</v>
      </c>
      <c r="X23" s="102">
        <f>SQRT((D9-D15)^2+(E9-E15)^2+(F9-F15)^2+(G9-G15)^2+(H9-H15)^2+(I9-I15)^2+(J9-J15)^2)</f>
        <v>2.6457513110645907</v>
      </c>
    </row>
    <row r="24" spans="2:24" ht="13.5" customHeight="1" x14ac:dyDescent="0.25">
      <c r="M24" s="106">
        <f t="shared" si="0"/>
        <v>5</v>
      </c>
      <c r="N24" s="103" t="str">
        <f t="shared" si="1"/>
        <v>Eko Wahyudi</v>
      </c>
      <c r="O24" s="102">
        <f>SQRT((D10-D6)^2+(E10-E6)^2+(F10-F6)^2+(G10-G6)^2+(H10-H6)^2+(I10-I6)^2+(J10-J6)^2)</f>
        <v>3.4641016151377544</v>
      </c>
      <c r="P24" s="102">
        <f>SQRT((D10-D7)^2+(E10-E7)^2+(F10-F7)^2+(G10-G7)^2+(H10-H7)^2+(I10-I7)^2+(J10-J7)^2)</f>
        <v>5.2915026221291814</v>
      </c>
      <c r="Q24" s="102">
        <f>SQRT((D10-D8)^2+(E10-E8)^2+(F10-F8)^2+(G10-G8)^2+(H10-H8)^2+(I10-I8)^2+(J10-J8)^2)</f>
        <v>3.872983346207417</v>
      </c>
      <c r="R24" s="102">
        <f>SQRT((D10-D9)^2+(E10-E9)^2+(F10-F9)^2+(G10-G9)^2+(H10-H9)^2+(I10-I9)^2+(J10-J9)^2)</f>
        <v>5.5677643628300215</v>
      </c>
      <c r="S24" s="107">
        <v>0</v>
      </c>
      <c r="T24" s="102">
        <f>SQRT((D10-D11)^2+(E10-E11)^2+(F10-F11)^2+(G10-G11)^2+(H10-H11)^2+(I10-I11)^2+(J10-J11)^2)</f>
        <v>7.9372539331937721</v>
      </c>
      <c r="U24" s="102">
        <f>SQRT((D10-D12)^2+(E10-E12)^2+(F10-F12)^2+(G10-G12)^2+(H10-H12)^2+(I10-I12)^2+(J10-J12)^2)</f>
        <v>3.4641016151377544</v>
      </c>
      <c r="V24" s="102">
        <f>SQRT((D10-D13)^2+(E10-E13)^2+(F10-F13)^2+(G10-G13)^2+(H10-H13)^2+(I10-I13)^2+(J10-J13)^2)</f>
        <v>3.6055512754639891</v>
      </c>
      <c r="W24" s="102">
        <f>SQRT((D10-D14)^2+(E10-E14)^2+(F10-F14)^2+(G10-G14)^2+(H10-H14)^2+(I10-I14)^2+(J10-J14)^2)</f>
        <v>3</v>
      </c>
      <c r="X24" s="102">
        <f>SQRT((D10-D15)^2+(E10-E15)^2+(F10-F15)^2+(G10-G15)^2+(H10-H15)^2+(I10-I15)^2+(J10-J15)^2)</f>
        <v>8</v>
      </c>
    </row>
    <row r="25" spans="2:24" ht="13.5" customHeight="1" x14ac:dyDescent="0.25">
      <c r="M25" s="106">
        <f t="shared" si="0"/>
        <v>6</v>
      </c>
      <c r="N25" s="103" t="str">
        <f t="shared" si="1"/>
        <v>Fitri Handayani</v>
      </c>
      <c r="O25" s="102">
        <f>SQRT((D11-D6)^2+(E11-E6)^2+(F11-F6)^2+(G11-G6)^2+(H11-H6)^2+(I11-I6)^2+(J11-J6)^2)</f>
        <v>9.9498743710661994</v>
      </c>
      <c r="P25" s="102">
        <f>SQRT((D11-D7)^2+(E11-E7)^2+(F11-F7)^2+(G11-G7)^2+(H11-H7)^2+(I11-I7)^2+(J11-J7)^2)</f>
        <v>2.6457513110645907</v>
      </c>
      <c r="Q25" s="102">
        <f>SQRT((D11-D8)^2+(E11-E8)^2+(F11-F8)^2+(G11-G8)^2+(H11-H8)^2+(I11-I8)^2+(J11-J8)^2)</f>
        <v>11.489125293076057</v>
      </c>
      <c r="R25" s="102">
        <f>SQRT((D11-D9)^2+(E11-E9)^2+(F11-F9)^2+(G11-G9)^2+(H11-H9)^2+(I11-I9)^2+(J11-J9)^2)</f>
        <v>4</v>
      </c>
      <c r="S25" s="102">
        <f>SQRT((D11-D10)^2+(E11-E10)^2+(F11-F10)^2+(G11-G10)^2+(H11-H10)^2+(I11-I10)^2+(J11-J10)^2)</f>
        <v>7.9372539331937721</v>
      </c>
      <c r="T25" s="107">
        <v>0</v>
      </c>
      <c r="U25" s="102">
        <f>SQRT((D11-D12)^2+(E11-E12)^2+(F11-F12)^2+(G11-G12)^2+(H11-H12)^2+(I11-I12)^2+(J11-J12)^2)</f>
        <v>11.090536506409418</v>
      </c>
      <c r="V25" s="102">
        <f>SQRT((D11-D13)^2+(E11-E13)^2+(F11-F13)^2+(G11-G13)^2+(H11-H13)^2+(I11-I13)^2+(J11-J13)^2)</f>
        <v>5.8309518948453007</v>
      </c>
      <c r="W25" s="102">
        <f>SQRT((D11-D14)^2+(E11-E14)^2+(F11-F14)^2+(G11-G14)^2+(H11-H14)^2+(I11-I14)^2+(J11-J14)^2)</f>
        <v>10.677078252031311</v>
      </c>
      <c r="X25" s="102">
        <f>SQRT((D11-D15)^2+(E11-E15)^2+(F11-F15)^2+(G11-G15)^2+(H11-H15)^2+(I11-I15)^2+(J11-J15)^2)</f>
        <v>2.6457513110645907</v>
      </c>
    </row>
    <row r="26" spans="2:24" ht="13.5" customHeight="1" x14ac:dyDescent="0.25">
      <c r="M26" s="106">
        <f t="shared" si="0"/>
        <v>7</v>
      </c>
      <c r="N26" s="103" t="str">
        <f t="shared" si="1"/>
        <v>Galih Nugroho</v>
      </c>
      <c r="O26" s="102">
        <f>SQRT((D12-D6)^2+(E12-E6)^2+(F12-F6)^2+(G12-G6)^2+(H12-H6)^2+(I12-I6)^2+(J12-J6)^2)</f>
        <v>2.8284271247461903</v>
      </c>
      <c r="P26" s="102">
        <f>SQRT((D12-D7)^2+(E12-E7)^2+(F12-F7)^2+(G12-G7)^2+(H12-H7)^2+(I12-I7)^2+(J12-J7)^2)</f>
        <v>8.4852813742385695</v>
      </c>
      <c r="Q26" s="102">
        <f>SQRT((D12-D8)^2+(E12-E8)^2+(F12-F8)^2+(G12-G8)^2+(H12-H8)^2+(I12-I8)^2+(J12-J8)^2)</f>
        <v>2.2360679774997898</v>
      </c>
      <c r="R26" s="102">
        <f>SQRT((D12-D9)^2+(E12-E9)^2+(F12-F9)^2+(G12-G9)^2+(H12-H9)^2+(I12-I9)^2+(J12-J9)^2)</f>
        <v>8.1853527718724504</v>
      </c>
      <c r="S26" s="102">
        <f>SQRT((D12-D10)^2+(E12-E10)^2+(F12-F10)^2+(G12-G10)^2+(H12-H10)^2+(I12-I10)^2+(J12-J10)^2)</f>
        <v>3.4641016151377544</v>
      </c>
      <c r="T26" s="102">
        <f>SQRT((D12-D11)^2+(E12-E11)^2+(F12-F11)^2+(G12-G11)^2+(H12-H11)^2+(I12-I11)^2+(J12-J11)^2)</f>
        <v>11.090536506409418</v>
      </c>
      <c r="U26" s="107">
        <v>0</v>
      </c>
      <c r="V26" s="102">
        <f>SQRT((D12-D13)^2+(E12-E13)^2+(F12-F13)^2+(G12-G13)^2+(H12-H13)^2+(I12-I13)^2+(J12-J13)^2)</f>
        <v>6.0827625302982193</v>
      </c>
      <c r="W26" s="102">
        <f>SQRT((D12-D14)^2+(E12-E14)^2+(F12-F14)^2+(G12-G14)^2+(H12-H14)^2+(I12-I14)^2+(J12-J14)^2)</f>
        <v>2.2360679774997898</v>
      </c>
      <c r="X26" s="102">
        <f>SQRT((D12-D15)^2+(E12-E15)^2+(F12-F15)^2+(G12-G15)^2+(H12-H15)^2+(I12-I15)^2+(J12-J15)^2)</f>
        <v>10.770329614269007</v>
      </c>
    </row>
    <row r="27" spans="2:24" ht="13.5" customHeight="1" x14ac:dyDescent="0.25">
      <c r="M27" s="106">
        <f t="shared" si="0"/>
        <v>8</v>
      </c>
      <c r="N27" s="103" t="str">
        <f t="shared" si="1"/>
        <v>Hana Putri</v>
      </c>
      <c r="O27" s="102">
        <f>SQRT((D13-D6)^2+(E13-E6)^2+(F13-F6)^2+(G13-G6)^2+(H13-H6)^2+(I13-I6)^2+(J13-J6)^2)</f>
        <v>4.358898943540674</v>
      </c>
      <c r="P27" s="102">
        <f>SQRT((D13-D7)^2+(E13-E7)^2+(F13-F7)^2+(G13-G7)^2+(H13-H7)^2+(I13-I7)^2+(J13-J7)^2)</f>
        <v>3.6055512754639891</v>
      </c>
      <c r="Q27" s="102">
        <f>SQRT((D13-D8)^2+(E13-E8)^2+(F13-F8)^2+(G13-G8)^2+(H13-H8)^2+(I13-I8)^2+(J13-J8)^2)</f>
        <v>6.324555320336759</v>
      </c>
      <c r="R27" s="102">
        <f>SQRT((D13-D9)^2+(E13-E9)^2+(F13-F9)^2+(G13-G9)^2+(H13-H9)^2+(I13-I9)^2+(J13-J9)^2)</f>
        <v>2.4494897427831779</v>
      </c>
      <c r="S27" s="102">
        <f>SQRT((D13-D10)^2+(E13-E10)^2+(F13-F10)^2+(G13-G10)^2+(H13-H10)^2+(I13-I10)^2+(J13-J10)^2)</f>
        <v>3.6055512754639891</v>
      </c>
      <c r="T27" s="102">
        <f>SQRT((D13-D11)^2+(E13-E11)^2+(F13-F11)^2+(G13-G11)^2+(H13-H11)^2+(I13-I11)^2+(J13-J11)^2)</f>
        <v>5.8309518948453007</v>
      </c>
      <c r="U27" s="102">
        <f>SQRT((D13-D12)^2+(E13-E12)^2+(F13-F12)^2+(G13-G12)^2+(H13-H12)^2+(I13-I12)^2+(J13-J12)^2)</f>
        <v>6.0827625302982193</v>
      </c>
      <c r="V27" s="107">
        <v>0</v>
      </c>
      <c r="W27" s="102">
        <f>SQRT((D13-D14)^2+(E13-E14)^2+(F13-F14)^2+(G13-G14)^2+(H13-H14)^2+(I13-I14)^2+(J13-J14)^2)</f>
        <v>5.6568542494923806</v>
      </c>
      <c r="X27" s="102">
        <f>SQRT((D13-D15)^2+(E13-E15)^2+(F13-F15)^2+(G13-G15)^2+(H13-H15)^2+(I13-I15)^2+(J13-J15)^2)</f>
        <v>5</v>
      </c>
    </row>
    <row r="28" spans="2:24" ht="13.5" customHeight="1" x14ac:dyDescent="0.25">
      <c r="M28" s="106">
        <f t="shared" si="0"/>
        <v>9</v>
      </c>
      <c r="N28" s="103" t="str">
        <f t="shared" si="1"/>
        <v>Indra Kusuma</v>
      </c>
      <c r="O28" s="102">
        <f>SQRT((D14-D6)^2+(E14-E6)^2+(F14-F6)^2+(G14-G6)^2+(H14-H6)^2+(I14-I6)^2+(J14-J6)^2)</f>
        <v>3</v>
      </c>
      <c r="P28" s="102">
        <f>SQRT((D14-D7)^2+(E14-E7)^2+(F14-F7)^2+(G14-G7)^2+(H14-H7)^2+(I14-I7)^2+(J14-J7)^2)</f>
        <v>8.0622577482985491</v>
      </c>
      <c r="Q28" s="102">
        <f>SQRT((D14-D8)^2+(E14-E8)^2+(F14-F8)^2+(G14-G8)^2+(H14-H8)^2+(I14-I8)^2+(J14-J8)^2)</f>
        <v>2</v>
      </c>
      <c r="R28" s="102">
        <f>SQRT((D14-D9)^2+(E14-E9)^2+(F14-F9)^2+(G14-G9)^2+(H14-H9)^2+(I14-I9)^2+(J14-J9)^2)</f>
        <v>7.8740078740118111</v>
      </c>
      <c r="S28" s="102">
        <f>SQRT((D14-D10)^2+(E14-E10)^2+(F14-F10)^2+(G14-G10)^2+(H14-H10)^2+(I14-I10)^2+(J14-J10)^2)</f>
        <v>3</v>
      </c>
      <c r="T28" s="102">
        <f>SQRT((D14-D11)^2+(E14-E11)^2+(F14-F11)^2+(G14-G11)^2+(H14-H11)^2+(I14-I11)^2+(J14-J11)^2)</f>
        <v>10.677078252031311</v>
      </c>
      <c r="U28" s="102">
        <f>SQRT((D14-D12)^2+(E14-E12)^2+(F14-F12)^2+(G14-G12)^2+(H14-H12)^2+(I14-I12)^2+(J14-J12)^2)</f>
        <v>2.2360679774997898</v>
      </c>
      <c r="V28" s="102">
        <f>SQRT((D14-D13)^2+(E14-E13)^2+(F14-F13)^2+(G14-G13)^2+(H14-H13)^2+(I14-I13)^2+(J14-J13)^2)</f>
        <v>5.6568542494923806</v>
      </c>
      <c r="W28" s="107">
        <v>0</v>
      </c>
      <c r="X28" s="102">
        <f>SQRT((D14-D15)^2+(E14-E15)^2+(F14-F15)^2+(G14-G15)^2+(H14-H15)^2+(I14-I15)^2+(J14-J15)^2)</f>
        <v>10.440306508910551</v>
      </c>
    </row>
    <row r="29" spans="2:24" ht="13.5" customHeight="1" x14ac:dyDescent="0.25">
      <c r="M29" s="106">
        <f t="shared" si="0"/>
        <v>10</v>
      </c>
      <c r="N29" s="103" t="str">
        <f t="shared" si="1"/>
        <v>Joko Purnomo</v>
      </c>
      <c r="O29" s="102">
        <f>SQRT((D15-D6)^2+(E15-E6)^2+(F15-F6)^2+(G15-G6)^2+(H15-H6)^2+(I15-I6)^2+(J15-J6)^2)</f>
        <v>9.1651513899116797</v>
      </c>
      <c r="P29" s="102">
        <f>SQRT((D15-D7)^2+(E15-E7)^2+(F15-F7)^2+(G15-G7)^2+(H15-H7)^2+(I15-I7)^2+(J15-J7)^2)</f>
        <v>3.4641016151377544</v>
      </c>
      <c r="Q29" s="102">
        <f>SQRT((D15-D8)^2+(E15-E8)^2+(F15-F8)^2+(G15-G8)^2+(H15-H8)^2+(I15-I8)^2+(J15-J8)^2)</f>
        <v>11.090536506409418</v>
      </c>
      <c r="R29" s="102">
        <f>SQRT((D15-D9)^2+(E15-E9)^2+(F15-F9)^2+(G15-G9)^2+(H15-H9)^2+(I15-I9)^2+(J15-J9)^2)</f>
        <v>2.6457513110645907</v>
      </c>
      <c r="S29" s="102">
        <f>SQRT((D15-D10)^2+(E15-E10)^2+(F15-F10)^2+(G15-G10)^2+(H15-H10)^2+(I15-I10)^2+(J15-J10)^2)</f>
        <v>8</v>
      </c>
      <c r="T29" s="102">
        <f>SQRT((D15-D11)^2+(E15-E11)^2+(F15-F11)^2+(G15-G11)^2+(H15-H11)^2+(I15-I11)^2+(J15-J11)^2)</f>
        <v>2.6457513110645907</v>
      </c>
      <c r="U29" s="102">
        <f>SQRT((D15-D12)^2+(E15-E12)^2+(F15-F12)^2+(G15-G12)^2+(H15-H12)^2+(I15-I12)^2+(J15-J12)^2)</f>
        <v>10.770329614269007</v>
      </c>
      <c r="V29" s="102">
        <f>SQRT((D15-D13)^2+(E15-E13)^2+(F15-F13)^2+(G15-G13)^2+(H15-H13)^2+(I15-I13)^2+(J15-J13)^2)</f>
        <v>5</v>
      </c>
      <c r="W29" s="102">
        <f>SQRT((D15-D14)^2+(E15-E14)^2+(F15-F14)^2+(G15-G14)^2+(H15-H14)^2+(I15-I14)^2+(J15-J14)^2)</f>
        <v>10.440306508910551</v>
      </c>
      <c r="X29" s="107">
        <v>0</v>
      </c>
    </row>
    <row r="32" spans="2:24" ht="15" customHeight="1" x14ac:dyDescent="0.25">
      <c r="B32" s="126" t="s">
        <v>107</v>
      </c>
      <c r="C32" s="126"/>
      <c r="D32" s="126"/>
      <c r="E32" s="126"/>
      <c r="F32" s="126"/>
      <c r="G32" s="126"/>
      <c r="H32" s="126"/>
      <c r="I32" s="126"/>
      <c r="J32" s="126"/>
      <c r="K32" s="126"/>
    </row>
    <row r="33" spans="2:11" ht="13.5" customHeight="1" x14ac:dyDescent="0.25">
      <c r="B33" s="101" t="s">
        <v>16</v>
      </c>
      <c r="C33" s="101" t="s">
        <v>96</v>
      </c>
      <c r="D33" s="101" t="s">
        <v>67</v>
      </c>
      <c r="E33" s="101" t="s">
        <v>108</v>
      </c>
      <c r="F33" s="101" t="s">
        <v>109</v>
      </c>
      <c r="G33" s="101" t="s">
        <v>110</v>
      </c>
      <c r="H33" s="101" t="s">
        <v>111</v>
      </c>
    </row>
    <row r="34" spans="2:11" ht="13.5" customHeight="1" x14ac:dyDescent="0.25">
      <c r="B34" s="102">
        <f t="shared" ref="B34:C43" si="2">B6</f>
        <v>1</v>
      </c>
      <c r="C34" s="103" t="str">
        <f t="shared" si="2"/>
        <v>Andi Setiawan</v>
      </c>
      <c r="D34" s="105" t="str">
        <f t="shared" ref="D34:D43" si="3">K6</f>
        <v>K1</v>
      </c>
      <c r="E34" s="102">
        <f t="shared" ref="E34:E43" si="4">COUNTIF(K$6:K$15,K6)</f>
        <v>4</v>
      </c>
      <c r="F34" s="102">
        <f>(IF(K6=K6,O20,0)+IF(K7=K6,P20,0)+IF(K8=K6,Q20,0)+IF(K9=K6,R20,0)+IF(K10=K6,S20,0)+IF(K11=K6,T20,0)+IF(K12=K6,U20,0)+IF(K13=K6,V20,0)+IF(K14=K6,W20,0)+IF(K15=K6,X20,0))</f>
        <v>8.8284271247461898</v>
      </c>
      <c r="G34" s="108">
        <f>IFERROR((IF(K6=K6,O20,0)+IF(K7=K6,P20,0)+IF(K8=K6,Q20,0)+IF(K9=K6,R20,0)+IF(K10=K6,S20,0)+IF(K11=K6,T20,0)+IF(K12=K6,U20,0)+IF(K13=K6,V20,0)+IF(K14=K6,W20,0)+IF(K15=K6,X20,0))/(E34-1),0)</f>
        <v>2.9428090415820631</v>
      </c>
      <c r="H34" s="103" t="str">
        <f t="shared" ref="H34:H43" si="5">IF(G34&lt;1,"Kohesi sangat tinggi",IF(G34&lt;2,"Kohesi tinggi",IF(G34&lt;3,"Kohesi sedang","Kohesi rendah")))</f>
        <v>Kohesi sedang</v>
      </c>
    </row>
    <row r="35" spans="2:11" ht="13.5" customHeight="1" x14ac:dyDescent="0.25">
      <c r="B35" s="102">
        <f t="shared" si="2"/>
        <v>2</v>
      </c>
      <c r="C35" s="103" t="str">
        <f t="shared" si="2"/>
        <v>Budi Santoso</v>
      </c>
      <c r="D35" s="105" t="str">
        <f t="shared" si="3"/>
        <v>K3</v>
      </c>
      <c r="E35" s="102">
        <f t="shared" si="4"/>
        <v>4</v>
      </c>
      <c r="F35" s="102">
        <f>(IF(K6=K7,O21,0)+IF(K7=K7,P21,0)+IF(K8=K7,Q21,0)+IF(K9=K7,R21,0)+IF(K10=K7,S21,0)+IF(K11=K7,T21,0)+IF(K12=K7,U21,0)+IF(K13=K7,V21,0)+IF(K14=K7,W21,0)+IF(K15=K7,X21,0))</f>
        <v>8.7556042372669367</v>
      </c>
      <c r="G35" s="108">
        <f>IFERROR((IF(K6=K7,O21,0)+IF(K7=K7,P21,0)+IF(K8=K7,Q21,0)+IF(K9=K7,R21,0)+IF(K10=K7,S21,0)+IF(K11=K7,T21,0)+IF(K12=K7,U21,0)+IF(K13=K7,V21,0)+IF(K14=K7,W21,0)+IF(K15=K7,X21,0))/(E35-1),0)</f>
        <v>2.9185347457556454</v>
      </c>
      <c r="H35" s="103" t="str">
        <f t="shared" si="5"/>
        <v>Kohesi sedang</v>
      </c>
    </row>
    <row r="36" spans="2:11" ht="13.5" customHeight="1" x14ac:dyDescent="0.25">
      <c r="B36" s="102">
        <f t="shared" si="2"/>
        <v>3</v>
      </c>
      <c r="C36" s="103" t="str">
        <f t="shared" si="2"/>
        <v>Citra Dewi</v>
      </c>
      <c r="D36" s="105" t="str">
        <f t="shared" si="3"/>
        <v>K1</v>
      </c>
      <c r="E36" s="102">
        <f t="shared" si="4"/>
        <v>4</v>
      </c>
      <c r="F36" s="102">
        <f>(IF(K6=K8,O22,0)+IF(K7=K8,P22,0)+IF(K8=K8,Q22,0)+IF(K9=K8,R22,0)+IF(K10=K8,S22,0)+IF(K11=K8,T22,0)+IF(K12=K8,U22,0)+IF(K13=K8,V22,0)+IF(K14=K8,W22,0)+IF(K15=K8,X22,0))</f>
        <v>7.2360679774997898</v>
      </c>
      <c r="G36" s="108">
        <f>IFERROR((IF(K6=K8,O22,0)+IF(K7=K8,P22,0)+IF(K8=K8,Q22,0)+IF(K9=K8,R22,0)+IF(K10=K8,S22,0)+IF(K11=K8,T22,0)+IF(K12=K8,U22,0)+IF(K13=K8,V22,0)+IF(K14=K8,W22,0)+IF(K15=K8,X22,0))/(E36-1),0)</f>
        <v>2.4120226591665967</v>
      </c>
      <c r="H36" s="103" t="str">
        <f t="shared" si="5"/>
        <v>Kohesi sedang</v>
      </c>
    </row>
    <row r="37" spans="2:11" ht="13.5" customHeight="1" x14ac:dyDescent="0.25">
      <c r="B37" s="102">
        <f t="shared" si="2"/>
        <v>4</v>
      </c>
      <c r="C37" s="103" t="str">
        <f t="shared" si="2"/>
        <v>Dian Pratiwi</v>
      </c>
      <c r="D37" s="105" t="str">
        <f t="shared" si="3"/>
        <v>K3</v>
      </c>
      <c r="E37" s="102">
        <f t="shared" si="4"/>
        <v>4</v>
      </c>
      <c r="F37" s="102">
        <f>(IF(K6=K9,O23,0)+IF(K7=K9,P23,0)+IF(K8=K9,Q23,0)+IF(K9=K9,R23,0)+IF(K10=K9,S23,0)+IF(K11=K9,T23,0)+IF(K12=K9,U23,0)+IF(K13=K9,V23,0)+IF(K14=K9,W23,0)+IF(K15=K9,X23,0))</f>
        <v>9.2915026221291814</v>
      </c>
      <c r="G37" s="108">
        <f>IFERROR((IF(K6=K9,O23,0)+IF(K7=K9,P23,0)+IF(K8=K9,Q23,0)+IF(K9=K9,R23,0)+IF(K10=K9,S23,0)+IF(K11=K9,T23,0)+IF(K12=K9,U23,0)+IF(K13=K9,V23,0)+IF(K14=K9,W23,0)+IF(K15=K9,X23,0))/(E37-1),0)</f>
        <v>3.097167540709727</v>
      </c>
      <c r="H37" s="103" t="str">
        <f t="shared" si="5"/>
        <v>Kohesi rendah</v>
      </c>
    </row>
    <row r="38" spans="2:11" ht="13.5" customHeight="1" x14ac:dyDescent="0.25">
      <c r="B38" s="102">
        <f t="shared" si="2"/>
        <v>5</v>
      </c>
      <c r="C38" s="103" t="str">
        <f t="shared" si="2"/>
        <v>Eko Wahyudi</v>
      </c>
      <c r="D38" s="105" t="str">
        <f t="shared" si="3"/>
        <v>K2</v>
      </c>
      <c r="E38" s="102">
        <f t="shared" si="4"/>
        <v>2</v>
      </c>
      <c r="F38" s="102">
        <f>(IF(K6=K10,O24,0)+IF(K7=K10,P24,0)+IF(K8=K10,Q24,0)+IF(K9=K10,R24,0)+IF(K10=K10,S24,0)+IF(K11=K10,T24,0)+IF(K12=K10,U24,0)+IF(K13=K10,V24,0)+IF(K14=K10,W24,0)+IF(K15=K10,X24,0))</f>
        <v>3.6055512754639891</v>
      </c>
      <c r="G38" s="108">
        <f>IFERROR((IF(K6=K10,O24,0)+IF(K7=K10,P24,0)+IF(K8=K10,Q24,0)+IF(K9=K10,R24,0)+IF(K10=K10,S24,0)+IF(K11=K10,T24,0)+IF(K12=K10,U24,0)+IF(K13=K10,V24,0)+IF(K14=K10,W24,0)+IF(K15=K10,X24,0))/(E38-1),0)</f>
        <v>3.6055512754639891</v>
      </c>
      <c r="H38" s="103" t="str">
        <f t="shared" si="5"/>
        <v>Kohesi rendah</v>
      </c>
    </row>
    <row r="39" spans="2:11" ht="13.5" customHeight="1" x14ac:dyDescent="0.25">
      <c r="B39" s="102">
        <f t="shared" si="2"/>
        <v>6</v>
      </c>
      <c r="C39" s="103" t="str">
        <f t="shared" si="2"/>
        <v>Fitri Handayani</v>
      </c>
      <c r="D39" s="105" t="str">
        <f t="shared" si="3"/>
        <v>K3</v>
      </c>
      <c r="E39" s="102">
        <f t="shared" si="4"/>
        <v>4</v>
      </c>
      <c r="F39" s="102">
        <f>(IF(K6=K11,O25,0)+IF(K7=K11,P25,0)+IF(K8=K11,Q25,0)+IF(K9=K11,R25,0)+IF(K10=K11,S25,0)+IF(K11=K11,T25,0)+IF(K12=K11,U25,0)+IF(K13=K11,V25,0)+IF(K14=K11,W25,0)+IF(K15=K11,X25,0))</f>
        <v>9.2915026221291814</v>
      </c>
      <c r="G39" s="108">
        <f>IFERROR((IF(K6=K11,O25,0)+IF(K7=K11,P25,0)+IF(K8=K11,Q25,0)+IF(K9=K11,R25,0)+IF(K10=K11,S25,0)+IF(K11=K11,T25,0)+IF(K12=K11,U25,0)+IF(K13=K11,V25,0)+IF(K14=K11,W25,0)+IF(K15=K11,X25,0))/(E39-1),0)</f>
        <v>3.097167540709727</v>
      </c>
      <c r="H39" s="103" t="str">
        <f t="shared" si="5"/>
        <v>Kohesi rendah</v>
      </c>
    </row>
    <row r="40" spans="2:11" ht="13.5" customHeight="1" x14ac:dyDescent="0.25">
      <c r="B40" s="102">
        <f t="shared" si="2"/>
        <v>7</v>
      </c>
      <c r="C40" s="103" t="str">
        <f t="shared" si="2"/>
        <v>Galih Nugroho</v>
      </c>
      <c r="D40" s="105" t="str">
        <f t="shared" si="3"/>
        <v>K1</v>
      </c>
      <c r="E40" s="102">
        <f t="shared" si="4"/>
        <v>4</v>
      </c>
      <c r="F40" s="102">
        <f>(IF(K6=K12,O26,0)+IF(K7=K12,P26,0)+IF(K8=K12,Q26,0)+IF(K9=K12,R26,0)+IF(K10=K12,S26,0)+IF(K11=K12,T26,0)+IF(K12=K12,U26,0)+IF(K13=K12,V26,0)+IF(K14=K12,W26,0)+IF(K15=K12,X26,0))</f>
        <v>7.3005630797457695</v>
      </c>
      <c r="G40" s="108">
        <f>IFERROR((IF(K6=K12,O26,0)+IF(K7=K12,P26,0)+IF(K8=K12,Q26,0)+IF(K9=K12,R26,0)+IF(K10=K12,S26,0)+IF(K11=K12,T26,0)+IF(K12=K12,U26,0)+IF(K13=K12,V26,0)+IF(K14=K12,W26,0)+IF(K15=K12,X26,0))/(E40-1),0)</f>
        <v>2.4335210265819232</v>
      </c>
      <c r="H40" s="103" t="str">
        <f t="shared" si="5"/>
        <v>Kohesi sedang</v>
      </c>
    </row>
    <row r="41" spans="2:11" ht="13.5" customHeight="1" x14ac:dyDescent="0.25">
      <c r="B41" s="102">
        <f t="shared" si="2"/>
        <v>8</v>
      </c>
      <c r="C41" s="103" t="str">
        <f t="shared" si="2"/>
        <v>Hana Putri</v>
      </c>
      <c r="D41" s="105" t="str">
        <f t="shared" si="3"/>
        <v>K2</v>
      </c>
      <c r="E41" s="102">
        <f t="shared" si="4"/>
        <v>2</v>
      </c>
      <c r="F41" s="102">
        <f>(IF(K6=K13,O27,0)+IF(K7=K13,P27,0)+IF(K8=K13,Q27,0)+IF(K9=K13,R27,0)+IF(K10=K13,S27,0)+IF(K11=K13,T27,0)+IF(K12=K13,U27,0)+IF(K13=K13,V27,0)+IF(K14=K13,W27,0)+IF(K15=K13,X27,0))</f>
        <v>3.6055512754639891</v>
      </c>
      <c r="G41" s="108">
        <f>IFERROR((IF(K6=K13,O27,0)+IF(K7=K13,P27,0)+IF(K8=K13,Q27,0)+IF(K9=K13,R27,0)+IF(K10=K13,S27,0)+IF(K11=K13,T27,0)+IF(K12=K13,U27,0)+IF(K13=K13,V27,0)+IF(K14=K13,W27,0)+IF(K15=K13,X27,0))/(E41-1),0)</f>
        <v>3.6055512754639891</v>
      </c>
      <c r="H41" s="103" t="str">
        <f t="shared" si="5"/>
        <v>Kohesi rendah</v>
      </c>
    </row>
    <row r="42" spans="2:11" ht="13.5" customHeight="1" x14ac:dyDescent="0.25">
      <c r="B42" s="102">
        <f t="shared" si="2"/>
        <v>9</v>
      </c>
      <c r="C42" s="103" t="str">
        <f t="shared" si="2"/>
        <v>Indra Kusuma</v>
      </c>
      <c r="D42" s="105" t="str">
        <f t="shared" si="3"/>
        <v>K1</v>
      </c>
      <c r="E42" s="102">
        <f t="shared" si="4"/>
        <v>4</v>
      </c>
      <c r="F42" s="102">
        <f>(IF(K6=K14,O28,0)+IF(K7=K14,P28,0)+IF(K8=K14,Q28,0)+IF(K9=K14,R28,0)+IF(K10=K14,S28,0)+IF(K11=K14,T28,0)+IF(K12=K14,U28,0)+IF(K13=K14,V28,0)+IF(K14=K14,W28,0)+IF(K15=K14,X28,0))</f>
        <v>7.2360679774997898</v>
      </c>
      <c r="G42" s="108">
        <f>IFERROR((IF(K6=K14,O28,0)+IF(K7=K14,P28,0)+IF(K8=K14,Q28,0)+IF(K9=K14,R28,0)+IF(K10=K14,S28,0)+IF(K11=K14,T28,0)+IF(K12=K14,U28,0)+IF(K13=K14,V28,0)+IF(K14=K14,W28,0)+IF(K15=K14,X28,0))/(E42-1),0)</f>
        <v>2.4120226591665967</v>
      </c>
      <c r="H42" s="103" t="str">
        <f t="shared" si="5"/>
        <v>Kohesi sedang</v>
      </c>
    </row>
    <row r="43" spans="2:11" ht="13.5" customHeight="1" x14ac:dyDescent="0.25">
      <c r="B43" s="102">
        <f t="shared" si="2"/>
        <v>10</v>
      </c>
      <c r="C43" s="103" t="str">
        <f t="shared" si="2"/>
        <v>Joko Purnomo</v>
      </c>
      <c r="D43" s="105" t="str">
        <f t="shared" si="3"/>
        <v>K3</v>
      </c>
      <c r="E43" s="102">
        <f t="shared" si="4"/>
        <v>4</v>
      </c>
      <c r="F43" s="102">
        <f>(IF(K6=K15,O29,0)+IF(K7=K15,P29,0)+IF(K8=K15,Q29,0)+IF(K9=K15,R29,0)+IF(K10=K15,S29,0)+IF(K11=K15,T29,0)+IF(K12=K15,U29,0)+IF(K13=K15,V29,0)+IF(K14=K15,W29,0)+IF(K15=K15,X29,0))</f>
        <v>8.7556042372669367</v>
      </c>
      <c r="G43" s="108">
        <f>IFERROR((IF(K6=K15,O29,0)+IF(K7=K15,P29,0)+IF(K8=K15,Q29,0)+IF(K9=K15,R29,0)+IF(K10=K15,S29,0)+IF(K11=K15,T29,0)+IF(K12=K15,U29,0)+IF(K13=K15,V29,0)+IF(K14=K15,W29,0)+IF(K15=K15,X29,0))/(E43-1),0)</f>
        <v>2.9185347457556454</v>
      </c>
      <c r="H43" s="103" t="str">
        <f t="shared" si="5"/>
        <v>Kohesi sedang</v>
      </c>
    </row>
    <row r="46" spans="2:11" ht="15" customHeight="1" x14ac:dyDescent="0.25">
      <c r="B46" s="126" t="s">
        <v>112</v>
      </c>
      <c r="C46" s="126"/>
      <c r="D46" s="126"/>
      <c r="E46" s="126"/>
      <c r="F46" s="126"/>
      <c r="G46" s="126"/>
      <c r="H46" s="126"/>
      <c r="I46" s="126"/>
      <c r="J46" s="126"/>
      <c r="K46" s="126"/>
    </row>
    <row r="47" spans="2:11" ht="13.5" customHeight="1" x14ac:dyDescent="0.25">
      <c r="B47" s="101" t="s">
        <v>16</v>
      </c>
      <c r="C47" s="101" t="s">
        <v>96</v>
      </c>
      <c r="D47" s="101" t="s">
        <v>67</v>
      </c>
      <c r="E47" s="101" t="s">
        <v>113</v>
      </c>
      <c r="F47" s="101" t="s">
        <v>114</v>
      </c>
      <c r="G47" s="101" t="s">
        <v>115</v>
      </c>
      <c r="H47" s="101" t="s">
        <v>116</v>
      </c>
      <c r="I47" s="101" t="s">
        <v>117</v>
      </c>
    </row>
    <row r="48" spans="2:11" ht="13.5" customHeight="1" x14ac:dyDescent="0.25">
      <c r="B48" s="102">
        <f t="shared" ref="B48:C57" si="6">B6</f>
        <v>1</v>
      </c>
      <c r="C48" s="103" t="str">
        <f t="shared" si="6"/>
        <v>Andi Setiawan</v>
      </c>
      <c r="D48" s="105" t="str">
        <f t="shared" ref="D48:D57" si="7">K6</f>
        <v>K1</v>
      </c>
      <c r="E48" s="109" t="str">
        <f>IF(K6="K1","—",IFERROR((IF(K6="K1",O20,0)+IF(K7="K1",P20,0)+IF(K8="K1",Q20,0)+IF(K9="K1",R20,0)+IF(K10="K1",S20,0)+IF(K11="K1",T20,0)+IF(K12="K1",U20,0)+IF(K13="K1",V20,0)+IF(K14="K1",W20,0)+IF(K15="K1",X20,0))/COUNTIF(K$6:K$15,"K1"),0))</f>
        <v>—</v>
      </c>
      <c r="F48" s="108">
        <f>IF(K6="K2","—",IFERROR((IF(K6="K2",O20,0)+IF(K7="K2",P20,0)+IF(K8="K2",Q20,0)+IF(K9="K2",R20,0)+IF(K10="K2",S20,0)+IF(K11="K2",T20,0)+IF(K12="K2",U20,0)+IF(K13="K2",V20,0)+IF(K14="K2",W20,0)+IF(K15="K2",X20,0))/COUNTIF(K$6:K$15,"K2"),0))</f>
        <v>3.9115002793392142</v>
      </c>
      <c r="G48" s="110">
        <f>IF(K6="K3","—",IFERROR((IF(K6="K3",O20,0)+IF(K7="K3",P20,0)+IF(K8="K3",Q20,0)+IF(K9="K3",R20,0)+IF(K10="K3",S20,0)+IF(K11="K3",T20,0)+IF(K12="K3",U20,0)+IF(K13="K3",V20,0)+IF(K14="K3",W20,0)+IF(K15="K3",X20,0))/COUNTIF(K$6:K$15,"K3"),0))</f>
        <v>8.2889447647069403</v>
      </c>
      <c r="H48" s="108">
        <f>MIN(IF(K6&lt;&gt;"K1",IFERROR((IF(K6="K1",O20,0)+IF(K7="K1",P20,0)+IF(K8="K1",Q20,0)+IF(K9="K1",R20,0)+IF(K10="K1",S20,0)+IF(K11="K1",T20,0)+IF(K12="K1",U20,0)+IF(K13="K1",V20,0)+IF(K14="K1",W20,0)+IF(K15="K1",X20,0))/COUNTIF(K$6:K$15,"K1"),0),1E+99),IF(K6&lt;&gt;"K2",IFERROR((IF(K6="K2",O20,0)+IF(K7="K2",P20,0)+IF(K8="K2",Q20,0)+IF(K9="K2",R20,0)+IF(K10="K2",S20,0)+IF(K11="K2",T20,0)+IF(K12="K2",U20,0)+IF(K13="K2",V20,0)+IF(K14="K2",W20,0)+IF(K15="K2",X20,0))/COUNTIF(K$6:K$15,"K2"),0),1E+99),IF(K6&lt;&gt;"K3",IFERROR((IF(K6="K3",O20,0)+IF(K7="K3",P20,0)+IF(K8="K3",Q20,0)+IF(K9="K3",R20,0)+IF(K10="K3",S20,0)+IF(K11="K3",T20,0)+IF(K12="K3",U20,0)+IF(K13="K3",V20,0)+IF(K14="K3",W20,0)+IF(K15="K3",X20,0))/COUNTIF(K$6:K$15,"K3"),0),1E+99))</f>
        <v>3.9115002793392142</v>
      </c>
      <c r="I48" s="103" t="str">
        <f>IF(K6&lt;&gt;"K1",IF(H48=(IFERROR((IF(K6="K1",O20,0)+IF(K7="K1",P20,0)+IF(K8="K1",Q20,0)+IF(K9="K1",R20,0)+IF(K10="K1",S20,0)+IF(K11="K1",T20,0)+IF(K12="K1",U20,0)+IF(K13="K1",V20,0)+IF(K14="K1",W20,0)+IF(K15="K1",X20,0))/COUNTIF(K$6:K$15,"K1"),0)),"K1",IF(H48=(IFERROR((IF(K6="K2",O20,0)+IF(K7="K2",P20,0)+IF(K8="K2",Q20,0)+IF(K9="K2",R20,0)+IF(K10="K2",S20,0)+IF(K11="K2",T20,0)+IF(K12="K2",U20,0)+IF(K13="K2",V20,0)+IF(K14="K2",W20,0)+IF(K15="K2",X20,0))/COUNTIF(K$6:K$15,"K2"),0)),"K2","K3")),IF(H48=(IFERROR((IF(K6="K2",O20,0)+IF(K7="K2",P20,0)+IF(K8="K2",Q20,0)+IF(K9="K2",R20,0)+IF(K10="K2",S20,0)+IF(K11="K2",T20,0)+IF(K12="K2",U20,0)+IF(K13="K2",V20,0)+IF(K14="K2",W20,0)+IF(K15="K2",X20,0))/COUNTIF(K$6:K$15,"K2"),0)),"K2","K3"))</f>
        <v>K2</v>
      </c>
    </row>
    <row r="49" spans="2:11" ht="13.5" customHeight="1" x14ac:dyDescent="0.25">
      <c r="B49" s="102">
        <f t="shared" si="6"/>
        <v>2</v>
      </c>
      <c r="C49" s="103" t="str">
        <f t="shared" si="6"/>
        <v>Budi Santoso</v>
      </c>
      <c r="D49" s="105" t="str">
        <f t="shared" si="7"/>
        <v>K3</v>
      </c>
      <c r="E49" s="109">
        <f>IF(K7="K1","—",IFERROR((IF(K6="K1",O21,0)+IF(K7="K1",P21,0)+IF(K8="K1",Q21,0)+IF(K9="K1",R21,0)+IF(K10="K1",S21,0)+IF(K11="K1",T21,0)+IF(K12="K1",U21,0)+IF(K13="K1",V21,0)+IF(K14="K1",W21,0)+IF(K15="K1",X21,0))/COUNTIF(K$6:K$15,"K1"),0))</f>
        <v>8.2297620783501468</v>
      </c>
      <c r="F49" s="108">
        <f>IF(K7="K2","—",IFERROR((IF(K6="K2",O21,0)+IF(K7="K2",P21,0)+IF(K8="K2",Q21,0)+IF(K9="K2",R21,0)+IF(K10="K2",S21,0)+IF(K11="K2",T21,0)+IF(K12="K2",U21,0)+IF(K13="K2",V21,0)+IF(K14="K2",W21,0)+IF(K15="K2",X21,0))/COUNTIF(K$6:K$15,"K2"),0))</f>
        <v>4.4485269487965855</v>
      </c>
      <c r="G49" s="110" t="str">
        <f>IF(K7="K3","—",IFERROR((IF(K6="K3",O21,0)+IF(K7="K3",P21,0)+IF(K8="K3",Q21,0)+IF(K9="K3",R21,0)+IF(K10="K3",S21,0)+IF(K11="K3",T21,0)+IF(K12="K3",U21,0)+IF(K13="K3",V21,0)+IF(K14="K3",W21,0)+IF(K15="K3",X21,0))/COUNTIF(K$6:K$15,"K3"),0))</f>
        <v>—</v>
      </c>
      <c r="H49" s="108">
        <f>MIN(IF(K7&lt;&gt;"K1",IFERROR((IF(K6="K1",O21,0)+IF(K7="K1",P21,0)+IF(K8="K1",Q21,0)+IF(K9="K1",R21,0)+IF(K10="K1",S21,0)+IF(K11="K1",T21,0)+IF(K12="K1",U21,0)+IF(K13="K1",V21,0)+IF(K14="K1",W21,0)+IF(K15="K1",X21,0))/COUNTIF(K$6:K$15,"K1"),0),1E+99),IF(K7&lt;&gt;"K2",IFERROR((IF(K6="K2",O21,0)+IF(K7="K2",P21,0)+IF(K8="K2",Q21,0)+IF(K9="K2",R21,0)+IF(K10="K2",S21,0)+IF(K11="K2",T21,0)+IF(K12="K2",U21,0)+IF(K13="K2",V21,0)+IF(K14="K2",W21,0)+IF(K15="K2",X21,0))/COUNTIF(K$6:K$15,"K2"),0),1E+99),IF(K7&lt;&gt;"K3",IFERROR((IF(K6="K3",O21,0)+IF(K7="K3",P21,0)+IF(K8="K3",Q21,0)+IF(K9="K3",R21,0)+IF(K10="K3",S21,0)+IF(K11="K3",T21,0)+IF(K12="K3",U21,0)+IF(K13="K3",V21,0)+IF(K14="K3",W21,0)+IF(K15="K3",X21,0))/COUNTIF(K$6:K$15,"K3"),0),1E+99))</f>
        <v>4.4485269487965855</v>
      </c>
      <c r="I49" s="103" t="str">
        <f>IF(K7&lt;&gt;"K1",IF(H49=(IFERROR((IF(K6="K1",O21,0)+IF(K7="K1",P21,0)+IF(K8="K1",Q21,0)+IF(K9="K1",R21,0)+IF(K10="K1",S21,0)+IF(K11="K1",T21,0)+IF(K12="K1",U21,0)+IF(K13="K1",V21,0)+IF(K14="K1",W21,0)+IF(K15="K1",X21,0))/COUNTIF(K$6:K$15,"K1"),0)),"K1",IF(H49=(IFERROR((IF(K6="K2",O21,0)+IF(K7="K2",P21,0)+IF(K8="K2",Q21,0)+IF(K9="K2",R21,0)+IF(K10="K2",S21,0)+IF(K11="K2",T21,0)+IF(K12="K2",U21,0)+IF(K13="K2",V21,0)+IF(K14="K2",W21,0)+IF(K15="K2",X21,0))/COUNTIF(K$6:K$15,"K2"),0)),"K2","K3")),IF(H49=(IFERROR((IF(K6="K2",O21,0)+IF(K7="K2",P21,0)+IF(K8="K2",Q21,0)+IF(K9="K2",R21,0)+IF(K10="K2",S21,0)+IF(K11="K2",T21,0)+IF(K12="K2",U21,0)+IF(K13="K2",V21,0)+IF(K14="K2",W21,0)+IF(K15="K2",X21,0))/COUNTIF(K$6:K$15,"K2"),0)),"K2","K3"))</f>
        <v>K2</v>
      </c>
    </row>
    <row r="50" spans="2:11" ht="13.5" customHeight="1" x14ac:dyDescent="0.25">
      <c r="B50" s="102">
        <f t="shared" si="6"/>
        <v>3</v>
      </c>
      <c r="C50" s="103" t="str">
        <f t="shared" si="6"/>
        <v>Citra Dewi</v>
      </c>
      <c r="D50" s="105" t="str">
        <f t="shared" si="7"/>
        <v>K1</v>
      </c>
      <c r="E50" s="109" t="str">
        <f>IF(K8="K1","—",IFERROR((IF(K6="K1",O22,0)+IF(K7="K1",P22,0)+IF(K8="K1",Q22,0)+IF(K9="K1",R22,0)+IF(K10="K1",S22,0)+IF(K11="K1",T22,0)+IF(K12="K1",U22,0)+IF(K13="K1",V22,0)+IF(K14="K1",W22,0)+IF(K15="K1",X22,0))/COUNTIF(K$6:K$15,"K1"),0))</f>
        <v>—</v>
      </c>
      <c r="F50" s="108">
        <f>IF(K8="K2","—",IFERROR((IF(K6="K2",O22,0)+IF(K7="K2",P22,0)+IF(K8="K2",Q22,0)+IF(K9="K2",R22,0)+IF(K10="K2",S22,0)+IF(K11="K2",T22,0)+IF(K12="K2",U22,0)+IF(K13="K2",V22,0)+IF(K14="K2",W22,0)+IF(K15="K2",X22,0))/COUNTIF(K$6:K$15,"K2"),0))</f>
        <v>5.098769333272088</v>
      </c>
      <c r="G50" s="110">
        <f>IF(K8="K3","—",IFERROR((IF(K6="K3",O22,0)+IF(K7="K3",P22,0)+IF(K8="K3",Q22,0)+IF(K9="K3",R22,0)+IF(K10="K3",S22,0)+IF(K11="K3",T22,0)+IF(K12="K3",U22,0)+IF(K13="K3",V22,0)+IF(K14="K3",W22,0)+IF(K15="K3",X22,0))/COUNTIF(K$6:K$15,"K3"),0))</f>
        <v>9.9882843977599087</v>
      </c>
      <c r="H50" s="108">
        <f>MIN(IF(K8&lt;&gt;"K1",IFERROR((IF(K6="K1",O22,0)+IF(K7="K1",P22,0)+IF(K8="K1",Q22,0)+IF(K9="K1",R22,0)+IF(K10="K1",S22,0)+IF(K11="K1",T22,0)+IF(K12="K1",U22,0)+IF(K13="K1",V22,0)+IF(K14="K1",W22,0)+IF(K15="K1",X22,0))/COUNTIF(K$6:K$15,"K1"),0),1E+99),IF(K8&lt;&gt;"K2",IFERROR((IF(K6="K2",O22,0)+IF(K7="K2",P22,0)+IF(K8="K2",Q22,0)+IF(K9="K2",R22,0)+IF(K10="K2",S22,0)+IF(K11="K2",T22,0)+IF(K12="K2",U22,0)+IF(K13="K2",V22,0)+IF(K14="K2",W22,0)+IF(K15="K2",X22,0))/COUNTIF(K$6:K$15,"K2"),0),1E+99),IF(K8&lt;&gt;"K3",IFERROR((IF(K6="K3",O22,0)+IF(K7="K3",P22,0)+IF(K8="K3",Q22,0)+IF(K9="K3",R22,0)+IF(K10="K3",S22,0)+IF(K11="K3",T22,0)+IF(K12="K3",U22,0)+IF(K13="K3",V22,0)+IF(K14="K3",W22,0)+IF(K15="K3",X22,0))/COUNTIF(K$6:K$15,"K3"),0),1E+99))</f>
        <v>5.098769333272088</v>
      </c>
      <c r="I50" s="103" t="str">
        <f>IF(K8&lt;&gt;"K1",IF(H50=(IFERROR((IF(K6="K1",O22,0)+IF(K7="K1",P22,0)+IF(K8="K1",Q22,0)+IF(K9="K1",R22,0)+IF(K10="K1",S22,0)+IF(K11="K1",T22,0)+IF(K12="K1",U22,0)+IF(K13="K1",V22,0)+IF(K14="K1",W22,0)+IF(K15="K1",X22,0))/COUNTIF(K$6:K$15,"K1"),0)),"K1",IF(H50=(IFERROR((IF(K6="K2",O22,0)+IF(K7="K2",P22,0)+IF(K8="K2",Q22,0)+IF(K9="K2",R22,0)+IF(K10="K2",S22,0)+IF(K11="K2",T22,0)+IF(K12="K2",U22,0)+IF(K13="K2",V22,0)+IF(K14="K2",W22,0)+IF(K15="K2",X22,0))/COUNTIF(K$6:K$15,"K2"),0)),"K2","K3")),IF(H50=(IFERROR((IF(K6="K2",O22,0)+IF(K7="K2",P22,0)+IF(K8="K2",Q22,0)+IF(K9="K2",R22,0)+IF(K10="K2",S22,0)+IF(K11="K2",T22,0)+IF(K12="K2",U22,0)+IF(K13="K2",V22,0)+IF(K14="K2",W22,0)+IF(K15="K2",X22,0))/COUNTIF(K$6:K$15,"K2"),0)),"K2","K3"))</f>
        <v>K2</v>
      </c>
    </row>
    <row r="51" spans="2:11" ht="13.5" customHeight="1" x14ac:dyDescent="0.25">
      <c r="B51" s="102">
        <f t="shared" si="6"/>
        <v>4</v>
      </c>
      <c r="C51" s="103" t="str">
        <f t="shared" si="6"/>
        <v>Dian Pratiwi</v>
      </c>
      <c r="D51" s="105" t="str">
        <f t="shared" si="7"/>
        <v>K3</v>
      </c>
      <c r="E51" s="109">
        <f>IF(K9="K1","—",IFERROR((IF(K6="K1",O23,0)+IF(K7="K1",P23,0)+IF(K8="K1",Q23,0)+IF(K9="K1",R23,0)+IF(K10="K1",S23,0)+IF(K11="K1",T23,0)+IF(K12="K1",U23,0)+IF(K13="K1",V23,0)+IF(K14="K1",W23,0)+IF(K15="K1",X23,0))/COUNTIF(K$6:K$15,"K1"),0))</f>
        <v>7.7755201361062074</v>
      </c>
      <c r="F51" s="108">
        <f>IF(K9="K2","—",IFERROR((IF(K6="K2",O23,0)+IF(K7="K2",P23,0)+IF(K8="K2",Q23,0)+IF(K9="K2",R23,0)+IF(K10="K2",S23,0)+IF(K11="K2",T23,0)+IF(K12="K2",U23,0)+IF(K13="K2",V23,0)+IF(K14="K2",W23,0)+IF(K15="K2",X23,0))/COUNTIF(K$6:K$15,"K2"),0))</f>
        <v>4.0086270528065997</v>
      </c>
      <c r="G51" s="110" t="str">
        <f>IF(K9="K3","—",IFERROR((IF(K6="K3",O23,0)+IF(K7="K3",P23,0)+IF(K8="K3",Q23,0)+IF(K9="K3",R23,0)+IF(K10="K3",S23,0)+IF(K11="K3",T23,0)+IF(K12="K3",U23,0)+IF(K13="K3",V23,0)+IF(K14="K3",W23,0)+IF(K15="K3",X23,0))/COUNTIF(K$6:K$15,"K3"),0))</f>
        <v>—</v>
      </c>
      <c r="H51" s="108">
        <f>MIN(IF(K9&lt;&gt;"K1",IFERROR((IF(K6="K1",O23,0)+IF(K7="K1",P23,0)+IF(K8="K1",Q23,0)+IF(K9="K1",R23,0)+IF(K10="K1",S23,0)+IF(K11="K1",T23,0)+IF(K12="K1",U23,0)+IF(K13="K1",V23,0)+IF(K14="K1",W23,0)+IF(K15="K1",X23,0))/COUNTIF(K$6:K$15,"K1"),0),1E+99),IF(K9&lt;&gt;"K2",IFERROR((IF(K6="K2",O23,0)+IF(K7="K2",P23,0)+IF(K8="K2",Q23,0)+IF(K9="K2",R23,0)+IF(K10="K2",S23,0)+IF(K11="K2",T23,0)+IF(K12="K2",U23,0)+IF(K13="K2",V23,0)+IF(K14="K2",W23,0)+IF(K15="K2",X23,0))/COUNTIF(K$6:K$15,"K2"),0),1E+99),IF(K9&lt;&gt;"K3",IFERROR((IF(K6="K3",O23,0)+IF(K7="K3",P23,0)+IF(K8="K3",Q23,0)+IF(K9="K3",R23,0)+IF(K10="K3",S23,0)+IF(K11="K3",T23,0)+IF(K12="K3",U23,0)+IF(K13="K3",V23,0)+IF(K14="K3",W23,0)+IF(K15="K3",X23,0))/COUNTIF(K$6:K$15,"K3"),0),1E+99))</f>
        <v>4.0086270528065997</v>
      </c>
      <c r="I51" s="103" t="str">
        <f>IF(K9&lt;&gt;"K1",IF(H51=(IFERROR((IF(K6="K1",O23,0)+IF(K7="K1",P23,0)+IF(K8="K1",Q23,0)+IF(K9="K1",R23,0)+IF(K10="K1",S23,0)+IF(K11="K1",T23,0)+IF(K12="K1",U23,0)+IF(K13="K1",V23,0)+IF(K14="K1",W23,0)+IF(K15="K1",X23,0))/COUNTIF(K$6:K$15,"K1"),0)),"K1",IF(H51=(IFERROR((IF(K6="K2",O23,0)+IF(K7="K2",P23,0)+IF(K8="K2",Q23,0)+IF(K9="K2",R23,0)+IF(K10="K2",S23,0)+IF(K11="K2",T23,0)+IF(K12="K2",U23,0)+IF(K13="K2",V23,0)+IF(K14="K2",W23,0)+IF(K15="K2",X23,0))/COUNTIF(K$6:K$15,"K2"),0)),"K2","K3")),IF(H51=(IFERROR((IF(K6="K2",O23,0)+IF(K7="K2",P23,0)+IF(K8="K2",Q23,0)+IF(K9="K2",R23,0)+IF(K10="K2",S23,0)+IF(K11="K2",T23,0)+IF(K12="K2",U23,0)+IF(K13="K2",V23,0)+IF(K14="K2",W23,0)+IF(K15="K2",X23,0))/COUNTIF(K$6:K$15,"K2"),0)),"K2","K3"))</f>
        <v>K2</v>
      </c>
    </row>
    <row r="52" spans="2:11" ht="13.5" customHeight="1" x14ac:dyDescent="0.25">
      <c r="B52" s="102">
        <f t="shared" si="6"/>
        <v>5</v>
      </c>
      <c r="C52" s="103" t="str">
        <f t="shared" si="6"/>
        <v>Eko Wahyudi</v>
      </c>
      <c r="D52" s="105" t="str">
        <f t="shared" si="7"/>
        <v>K2</v>
      </c>
      <c r="E52" s="109">
        <f>IF(K10="K1","—",IFERROR((IF(K6="K1",O24,0)+IF(K7="K1",P24,0)+IF(K8="K1",Q24,0)+IF(K9="K1",R24,0)+IF(K10="K1",S24,0)+IF(K11="K1",T24,0)+IF(K12="K1",U24,0)+IF(K13="K1",V24,0)+IF(K14="K1",W24,0)+IF(K15="K1",X24,0))/COUNTIF(K$6:K$15,"K1"),0))</f>
        <v>3.4502966441207317</v>
      </c>
      <c r="F52" s="108" t="str">
        <f>IF(K10="K2","—",IFERROR((IF(K6="K2",O24,0)+IF(K7="K2",P24,0)+IF(K8="K2",Q24,0)+IF(K9="K2",R24,0)+IF(K10="K2",S24,0)+IF(K11="K2",T24,0)+IF(K12="K2",U24,0)+IF(K13="K2",V24,0)+IF(K14="K2",W24,0)+IF(K15="K2",X24,0))/COUNTIF(K$6:K$15,"K2"),0))</f>
        <v>—</v>
      </c>
      <c r="G52" s="110">
        <f>IF(K10="K3","—",IFERROR((IF(K6="K3",O24,0)+IF(K7="K3",P24,0)+IF(K8="K3",Q24,0)+IF(K9="K3",R24,0)+IF(K10="K3",S24,0)+IF(K11="K3",T24,0)+IF(K12="K3",U24,0)+IF(K13="K3",V24,0)+IF(K14="K3",W24,0)+IF(K15="K3",X24,0))/COUNTIF(K$6:K$15,"K3"),0))</f>
        <v>6.6991302295382438</v>
      </c>
      <c r="H52" s="108">
        <f>MIN(IF(K10&lt;&gt;"K1",IFERROR((IF(K6="K1",O24,0)+IF(K7="K1",P24,0)+IF(K8="K1",Q24,0)+IF(K9="K1",R24,0)+IF(K10="K1",S24,0)+IF(K11="K1",T24,0)+IF(K12="K1",U24,0)+IF(K13="K1",V24,0)+IF(K14="K1",W24,0)+IF(K15="K1",X24,0))/COUNTIF(K$6:K$15,"K1"),0),1E+99),IF(K10&lt;&gt;"K2",IFERROR((IF(K6="K2",O24,0)+IF(K7="K2",P24,0)+IF(K8="K2",Q24,0)+IF(K9="K2",R24,0)+IF(K10="K2",S24,0)+IF(K11="K2",T24,0)+IF(K12="K2",U24,0)+IF(K13="K2",V24,0)+IF(K14="K2",W24,0)+IF(K15="K2",X24,0))/COUNTIF(K$6:K$15,"K2"),0),1E+99),IF(K10&lt;&gt;"K3",IFERROR((IF(K6="K3",O24,0)+IF(K7="K3",P24,0)+IF(K8="K3",Q24,0)+IF(K9="K3",R24,0)+IF(K10="K3",S24,0)+IF(K11="K3",T24,0)+IF(K12="K3",U24,0)+IF(K13="K3",V24,0)+IF(K14="K3",W24,0)+IF(K15="K3",X24,0))/COUNTIF(K$6:K$15,"K3"),0),1E+99))</f>
        <v>3.4502966441207317</v>
      </c>
      <c r="I52" s="103" t="str">
        <f>IF(K10&lt;&gt;"K1",IF(H52=(IFERROR((IF(K6="K1",O24,0)+IF(K7="K1",P24,0)+IF(K8="K1",Q24,0)+IF(K9="K1",R24,0)+IF(K10="K1",S24,0)+IF(K11="K1",T24,0)+IF(K12="K1",U24,0)+IF(K13="K1",V24,0)+IF(K14="K1",W24,0)+IF(K15="K1",X24,0))/COUNTIF(K$6:K$15,"K1"),0)),"K1",IF(H52=(IFERROR((IF(K6="K2",O24,0)+IF(K7="K2",P24,0)+IF(K8="K2",Q24,0)+IF(K9="K2",R24,0)+IF(K10="K2",S24,0)+IF(K11="K2",T24,0)+IF(K12="K2",U24,0)+IF(K13="K2",V24,0)+IF(K14="K2",W24,0)+IF(K15="K2",X24,0))/COUNTIF(K$6:K$15,"K2"),0)),"K2","K3")),IF(H52=(IFERROR((IF(K6="K2",O24,0)+IF(K7="K2",P24,0)+IF(K8="K2",Q24,0)+IF(K9="K2",R24,0)+IF(K10="K2",S24,0)+IF(K11="K2",T24,0)+IF(K12="K2",U24,0)+IF(K13="K2",V24,0)+IF(K14="K2",W24,0)+IF(K15="K2",X24,0))/COUNTIF(K$6:K$15,"K2"),0)),"K2","K3"))</f>
        <v>K1</v>
      </c>
    </row>
    <row r="53" spans="2:11" ht="13.5" customHeight="1" x14ac:dyDescent="0.25">
      <c r="B53" s="102">
        <f t="shared" si="6"/>
        <v>6</v>
      </c>
      <c r="C53" s="103" t="str">
        <f t="shared" si="6"/>
        <v>Fitri Handayani</v>
      </c>
      <c r="D53" s="105" t="str">
        <f t="shared" si="7"/>
        <v>K3</v>
      </c>
      <c r="E53" s="109">
        <f>IF(K11="K1","—",IFERROR((IF(K6="K1",O25,0)+IF(K7="K1",P25,0)+IF(K8="K1",Q25,0)+IF(K9="K1",R25,0)+IF(K10="K1",S25,0)+IF(K11="K1",T25,0)+IF(K12="K1",U25,0)+IF(K13="K1",V25,0)+IF(K14="K1",W25,0)+IF(K15="K1",X25,0))/COUNTIF(K$6:K$15,"K1"),0))</f>
        <v>10.801653605645747</v>
      </c>
      <c r="F53" s="108">
        <f>IF(K11="K2","—",IFERROR((IF(K6="K2",O25,0)+IF(K7="K2",P25,0)+IF(K8="K2",Q25,0)+IF(K9="K2",R25,0)+IF(K10="K2",S25,0)+IF(K11="K2",T25,0)+IF(K12="K2",U25,0)+IF(K13="K2",V25,0)+IF(K14="K2",W25,0)+IF(K15="K2",X25,0))/COUNTIF(K$6:K$15,"K2"),0))</f>
        <v>6.884102914019536</v>
      </c>
      <c r="G53" s="110" t="str">
        <f>IF(K11="K3","—",IFERROR((IF(K6="K3",O25,0)+IF(K7="K3",P25,0)+IF(K8="K3",Q25,0)+IF(K9="K3",R25,0)+IF(K10="K3",S25,0)+IF(K11="K3",T25,0)+IF(K12="K3",U25,0)+IF(K13="K3",V25,0)+IF(K14="K3",W25,0)+IF(K15="K3",X25,0))/COUNTIF(K$6:K$15,"K3"),0))</f>
        <v>—</v>
      </c>
      <c r="H53" s="108">
        <f>MIN(IF(K11&lt;&gt;"K1",IFERROR((IF(K6="K1",O25,0)+IF(K7="K1",P25,0)+IF(K8="K1",Q25,0)+IF(K9="K1",R25,0)+IF(K10="K1",S25,0)+IF(K11="K1",T25,0)+IF(K12="K1",U25,0)+IF(K13="K1",V25,0)+IF(K14="K1",W25,0)+IF(K15="K1",X25,0))/COUNTIF(K$6:K$15,"K1"),0),1E+99),IF(K11&lt;&gt;"K2",IFERROR((IF(K6="K2",O25,0)+IF(K7="K2",P25,0)+IF(K8="K2",Q25,0)+IF(K9="K2",R25,0)+IF(K10="K2",S25,0)+IF(K11="K2",T25,0)+IF(K12="K2",U25,0)+IF(K13="K2",V25,0)+IF(K14="K2",W25,0)+IF(K15="K2",X25,0))/COUNTIF(K$6:K$15,"K2"),0),1E+99),IF(K11&lt;&gt;"K3",IFERROR((IF(K6="K3",O25,0)+IF(K7="K3",P25,0)+IF(K8="K3",Q25,0)+IF(K9="K3",R25,0)+IF(K10="K3",S25,0)+IF(K11="K3",T25,0)+IF(K12="K3",U25,0)+IF(K13="K3",V25,0)+IF(K14="K3",W25,0)+IF(K15="K3",X25,0))/COUNTIF(K$6:K$15,"K3"),0),1E+99))</f>
        <v>6.884102914019536</v>
      </c>
      <c r="I53" s="103" t="str">
        <f>IF(K11&lt;&gt;"K1",IF(H53=(IFERROR((IF(K6="K1",O25,0)+IF(K7="K1",P25,0)+IF(K8="K1",Q25,0)+IF(K9="K1",R25,0)+IF(K10="K1",S25,0)+IF(K11="K1",T25,0)+IF(K12="K1",U25,0)+IF(K13="K1",V25,0)+IF(K14="K1",W25,0)+IF(K15="K1",X25,0))/COUNTIF(K$6:K$15,"K1"),0)),"K1",IF(H53=(IFERROR((IF(K6="K2",O25,0)+IF(K7="K2",P25,0)+IF(K8="K2",Q25,0)+IF(K9="K2",R25,0)+IF(K10="K2",S25,0)+IF(K11="K2",T25,0)+IF(K12="K2",U25,0)+IF(K13="K2",V25,0)+IF(K14="K2",W25,0)+IF(K15="K2",X25,0))/COUNTIF(K$6:K$15,"K2"),0)),"K2","K3")),IF(H53=(IFERROR((IF(K6="K2",O25,0)+IF(K7="K2",P25,0)+IF(K8="K2",Q25,0)+IF(K9="K2",R25,0)+IF(K10="K2",S25,0)+IF(K11="K2",T25,0)+IF(K12="K2",U25,0)+IF(K13="K2",V25,0)+IF(K14="K2",W25,0)+IF(K15="K2",X25,0))/COUNTIF(K$6:K$15,"K2"),0)),"K2","K3"))</f>
        <v>K2</v>
      </c>
    </row>
    <row r="54" spans="2:11" ht="13.5" customHeight="1" x14ac:dyDescent="0.25">
      <c r="B54" s="102">
        <f t="shared" si="6"/>
        <v>7</v>
      </c>
      <c r="C54" s="103" t="str">
        <f t="shared" si="6"/>
        <v>Galih Nugroho</v>
      </c>
      <c r="D54" s="105" t="str">
        <f t="shared" si="7"/>
        <v>K1</v>
      </c>
      <c r="E54" s="109" t="str">
        <f>IF(K12="K1","—",IFERROR((IF(K6="K1",O26,0)+IF(K7="K1",P26,0)+IF(K8="K1",Q26,0)+IF(K9="K1",R26,0)+IF(K10="K1",S26,0)+IF(K11="K1",T26,0)+IF(K12="K1",U26,0)+IF(K13="K1",V26,0)+IF(K14="K1",W26,0)+IF(K15="K1",X26,0))/COUNTIF(K$6:K$15,"K1"),0))</f>
        <v>—</v>
      </c>
      <c r="F54" s="108">
        <f>IF(K12="K2","—",IFERROR((IF(K6="K2",O26,0)+IF(K7="K2",P26,0)+IF(K8="K2",Q26,0)+IF(K9="K2",R26,0)+IF(K10="K2",S26,0)+IF(K11="K2",T26,0)+IF(K12="K2",U26,0)+IF(K13="K2",V26,0)+IF(K14="K2",W26,0)+IF(K15="K2",X26,0))/COUNTIF(K$6:K$15,"K2"),0))</f>
        <v>4.7734320727179869</v>
      </c>
      <c r="G54" s="110">
        <f>IF(K12="K3","—",IFERROR((IF(K6="K3",O26,0)+IF(K7="K3",P26,0)+IF(K8="K3",Q26,0)+IF(K9="K3",R26,0)+IF(K10="K3",S26,0)+IF(K11="K3",T26,0)+IF(K12="K3",U26,0)+IF(K13="K3",V26,0)+IF(K14="K3",W26,0)+IF(K15="K3",X26,0))/COUNTIF(K$6:K$15,"K3"),0))</f>
        <v>9.6328750666973608</v>
      </c>
      <c r="H54" s="108">
        <f>MIN(IF(K12&lt;&gt;"K1",IFERROR((IF(K6="K1",O26,0)+IF(K7="K1",P26,0)+IF(K8="K1",Q26,0)+IF(K9="K1",R26,0)+IF(K10="K1",S26,0)+IF(K11="K1",T26,0)+IF(K12="K1",U26,0)+IF(K13="K1",V26,0)+IF(K14="K1",W26,0)+IF(K15="K1",X26,0))/COUNTIF(K$6:K$15,"K1"),0),1E+99),IF(K12&lt;&gt;"K2",IFERROR((IF(K6="K2",O26,0)+IF(K7="K2",P26,0)+IF(K8="K2",Q26,0)+IF(K9="K2",R26,0)+IF(K10="K2",S26,0)+IF(K11="K2",T26,0)+IF(K12="K2",U26,0)+IF(K13="K2",V26,0)+IF(K14="K2",W26,0)+IF(K15="K2",X26,0))/COUNTIF(K$6:K$15,"K2"),0),1E+99),IF(K12&lt;&gt;"K3",IFERROR((IF(K6="K3",O26,0)+IF(K7="K3",P26,0)+IF(K8="K3",Q26,0)+IF(K9="K3",R26,0)+IF(K10="K3",S26,0)+IF(K11="K3",T26,0)+IF(K12="K3",U26,0)+IF(K13="K3",V26,0)+IF(K14="K3",W26,0)+IF(K15="K3",X26,0))/COUNTIF(K$6:K$15,"K3"),0),1E+99))</f>
        <v>4.7734320727179869</v>
      </c>
      <c r="I54" s="103" t="str">
        <f>IF(K12&lt;&gt;"K1",IF(H54=(IFERROR((IF(K6="K1",O26,0)+IF(K7="K1",P26,0)+IF(K8="K1",Q26,0)+IF(K9="K1",R26,0)+IF(K10="K1",S26,0)+IF(K11="K1",T26,0)+IF(K12="K1",U26,0)+IF(K13="K1",V26,0)+IF(K14="K1",W26,0)+IF(K15="K1",X26,0))/COUNTIF(K$6:K$15,"K1"),0)),"K1",IF(H54=(IFERROR((IF(K6="K2",O26,0)+IF(K7="K2",P26,0)+IF(K8="K2",Q26,0)+IF(K9="K2",R26,0)+IF(K10="K2",S26,0)+IF(K11="K2",T26,0)+IF(K12="K2",U26,0)+IF(K13="K2",V26,0)+IF(K14="K2",W26,0)+IF(K15="K2",X26,0))/COUNTIF(K$6:K$15,"K2"),0)),"K2","K3")),IF(H54=(IFERROR((IF(K6="K2",O26,0)+IF(K7="K2",P26,0)+IF(K8="K2",Q26,0)+IF(K9="K2",R26,0)+IF(K10="K2",S26,0)+IF(K11="K2",T26,0)+IF(K12="K2",U26,0)+IF(K13="K2",V26,0)+IF(K14="K2",W26,0)+IF(K15="K2",X26,0))/COUNTIF(K$6:K$15,"K2"),0)),"K2","K3"))</f>
        <v>K2</v>
      </c>
    </row>
    <row r="55" spans="2:11" ht="13.5" customHeight="1" x14ac:dyDescent="0.25">
      <c r="B55" s="102">
        <f t="shared" si="6"/>
        <v>8</v>
      </c>
      <c r="C55" s="103" t="str">
        <f t="shared" si="6"/>
        <v>Hana Putri</v>
      </c>
      <c r="D55" s="105" t="str">
        <f t="shared" si="7"/>
        <v>K2</v>
      </c>
      <c r="E55" s="109">
        <f>IF(K13="K1","—",IFERROR((IF(K6="K1",O27,0)+IF(K7="K1",P27,0)+IF(K8="K1",Q27,0)+IF(K9="K1",R27,0)+IF(K10="K1",S27,0)+IF(K11="K1",T27,0)+IF(K12="K1",U27,0)+IF(K13="K1",V27,0)+IF(K14="K1",W27,0)+IF(K15="K1",X27,0))/COUNTIF(K$6:K$15,"K1"),0))</f>
        <v>5.6057677609170078</v>
      </c>
      <c r="F55" s="108" t="str">
        <f>IF(K13="K2","—",IFERROR((IF(K6="K2",O27,0)+IF(K7="K2",P27,0)+IF(K8="K2",Q27,0)+IF(K9="K2",R27,0)+IF(K10="K2",S27,0)+IF(K11="K2",T27,0)+IF(K12="K2",U27,0)+IF(K13="K2",V27,0)+IF(K14="K2",W27,0)+IF(K15="K2",X27,0))/COUNTIF(K$6:K$15,"K2"),0))</f>
        <v>—</v>
      </c>
      <c r="G55" s="110">
        <f>IF(K13="K3","—",IFERROR((IF(K6="K3",O27,0)+IF(K7="K3",P27,0)+IF(K8="K3",Q27,0)+IF(K9="K3",R27,0)+IF(K10="K3",S27,0)+IF(K11="K3",T27,0)+IF(K12="K3",U27,0)+IF(K13="K3",V27,0)+IF(K14="K3",W27,0)+IF(K15="K3",X27,0))/COUNTIF(K$6:K$15,"K3"),0))</f>
        <v>4.2214982282731164</v>
      </c>
      <c r="H55" s="108">
        <f>MIN(IF(K13&lt;&gt;"K1",IFERROR((IF(K6="K1",O27,0)+IF(K7="K1",P27,0)+IF(K8="K1",Q27,0)+IF(K9="K1",R27,0)+IF(K10="K1",S27,0)+IF(K11="K1",T27,0)+IF(K12="K1",U27,0)+IF(K13="K1",V27,0)+IF(K14="K1",W27,0)+IF(K15="K1",X27,0))/COUNTIF(K$6:K$15,"K1"),0),1E+99),IF(K13&lt;&gt;"K2",IFERROR((IF(K6="K2",O27,0)+IF(K7="K2",P27,0)+IF(K8="K2",Q27,0)+IF(K9="K2",R27,0)+IF(K10="K2",S27,0)+IF(K11="K2",T27,0)+IF(K12="K2",U27,0)+IF(K13="K2",V27,0)+IF(K14="K2",W27,0)+IF(K15="K2",X27,0))/COUNTIF(K$6:K$15,"K2"),0),1E+99),IF(K13&lt;&gt;"K3",IFERROR((IF(K6="K3",O27,0)+IF(K7="K3",P27,0)+IF(K8="K3",Q27,0)+IF(K9="K3",R27,0)+IF(K10="K3",S27,0)+IF(K11="K3",T27,0)+IF(K12="K3",U27,0)+IF(K13="K3",V27,0)+IF(K14="K3",W27,0)+IF(K15="K3",X27,0))/COUNTIF(K$6:K$15,"K3"),0),1E+99))</f>
        <v>4.2214982282731164</v>
      </c>
      <c r="I55" s="103" t="str">
        <f>IF(K13&lt;&gt;"K1",IF(H55=(IFERROR((IF(K6="K1",O27,0)+IF(K7="K1",P27,0)+IF(K8="K1",Q27,0)+IF(K9="K1",R27,0)+IF(K10="K1",S27,0)+IF(K11="K1",T27,0)+IF(K12="K1",U27,0)+IF(K13="K1",V27,0)+IF(K14="K1",W27,0)+IF(K15="K1",X27,0))/COUNTIF(K$6:K$15,"K1"),0)),"K1",IF(H55=(IFERROR((IF(K6="K2",O27,0)+IF(K7="K2",P27,0)+IF(K8="K2",Q27,0)+IF(K9="K2",R27,0)+IF(K10="K2",S27,0)+IF(K11="K2",T27,0)+IF(K12="K2",U27,0)+IF(K13="K2",V27,0)+IF(K14="K2",W27,0)+IF(K15="K2",X27,0))/COUNTIF(K$6:K$15,"K2"),0)),"K2","K3")),IF(H55=(IFERROR((IF(K6="K2",O27,0)+IF(K7="K2",P27,0)+IF(K8="K2",Q27,0)+IF(K9="K2",R27,0)+IF(K10="K2",S27,0)+IF(K11="K2",T27,0)+IF(K12="K2",U27,0)+IF(K13="K2",V27,0)+IF(K14="K2",W27,0)+IF(K15="K2",X27,0))/COUNTIF(K$6:K$15,"K2"),0)),"K2","K3"))</f>
        <v>K3</v>
      </c>
    </row>
    <row r="56" spans="2:11" ht="13.5" customHeight="1" x14ac:dyDescent="0.25">
      <c r="B56" s="102">
        <f t="shared" si="6"/>
        <v>9</v>
      </c>
      <c r="C56" s="103" t="str">
        <f t="shared" si="6"/>
        <v>Indra Kusuma</v>
      </c>
      <c r="D56" s="105" t="str">
        <f t="shared" si="7"/>
        <v>K1</v>
      </c>
      <c r="E56" s="109" t="str">
        <f>IF(K14="K1","—",IFERROR((IF(K6="K1",O28,0)+IF(K7="K1",P28,0)+IF(K8="K1",Q28,0)+IF(K9="K1",R28,0)+IF(K10="K1",S28,0)+IF(K11="K1",T28,0)+IF(K12="K1",U28,0)+IF(K13="K1",V28,0)+IF(K14="K1",W28,0)+IF(K15="K1",X28,0))/COUNTIF(K$6:K$15,"K1"),0))</f>
        <v>—</v>
      </c>
      <c r="F56" s="108">
        <f>IF(K14="K2","—",IFERROR((IF(K6="K2",O28,0)+IF(K7="K2",P28,0)+IF(K8="K2",Q28,0)+IF(K9="K2",R28,0)+IF(K10="K2",S28,0)+IF(K11="K2",T28,0)+IF(K12="K2",U28,0)+IF(K13="K2",V28,0)+IF(K14="K2",W28,0)+IF(K15="K2",X28,0))/COUNTIF(K$6:K$15,"K2"),0))</f>
        <v>4.3284271247461898</v>
      </c>
      <c r="G56" s="110">
        <f>IF(K14="K3","—",IFERROR((IF(K6="K3",O28,0)+IF(K7="K3",P28,0)+IF(K8="K3",Q28,0)+IF(K9="K3",R28,0)+IF(K10="K3",S28,0)+IF(K11="K3",T28,0)+IF(K12="K3",U28,0)+IF(K13="K3",V28,0)+IF(K14="K3",W28,0)+IF(K15="K3",X28,0))/COUNTIF(K$6:K$15,"K3"),0))</f>
        <v>9.2634125958130564</v>
      </c>
      <c r="H56" s="108">
        <f>MIN(IF(K14&lt;&gt;"K1",IFERROR((IF(K6="K1",O28,0)+IF(K7="K1",P28,0)+IF(K8="K1",Q28,0)+IF(K9="K1",R28,0)+IF(K10="K1",S28,0)+IF(K11="K1",T28,0)+IF(K12="K1",U28,0)+IF(K13="K1",V28,0)+IF(K14="K1",W28,0)+IF(K15="K1",X28,0))/COUNTIF(K$6:K$15,"K1"),0),1E+99),IF(K14&lt;&gt;"K2",IFERROR((IF(K6="K2",O28,0)+IF(K7="K2",P28,0)+IF(K8="K2",Q28,0)+IF(K9="K2",R28,0)+IF(K10="K2",S28,0)+IF(K11="K2",T28,0)+IF(K12="K2",U28,0)+IF(K13="K2",V28,0)+IF(K14="K2",W28,0)+IF(K15="K2",X28,0))/COUNTIF(K$6:K$15,"K2"),0),1E+99),IF(K14&lt;&gt;"K3",IFERROR((IF(K6="K3",O28,0)+IF(K7="K3",P28,0)+IF(K8="K3",Q28,0)+IF(K9="K3",R28,0)+IF(K10="K3",S28,0)+IF(K11="K3",T28,0)+IF(K12="K3",U28,0)+IF(K13="K3",V28,0)+IF(K14="K3",W28,0)+IF(K15="K3",X28,0))/COUNTIF(K$6:K$15,"K3"),0),1E+99))</f>
        <v>4.3284271247461898</v>
      </c>
      <c r="I56" s="103" t="str">
        <f>IF(K14&lt;&gt;"K1",IF(H56=(IFERROR((IF(K6="K1",O28,0)+IF(K7="K1",P28,0)+IF(K8="K1",Q28,0)+IF(K9="K1",R28,0)+IF(K10="K1",S28,0)+IF(K11="K1",T28,0)+IF(K12="K1",U28,0)+IF(K13="K1",V28,0)+IF(K14="K1",W28,0)+IF(K15="K1",X28,0))/COUNTIF(K$6:K$15,"K1"),0)),"K1",IF(H56=(IFERROR((IF(K6="K2",O28,0)+IF(K7="K2",P28,0)+IF(K8="K2",Q28,0)+IF(K9="K2",R28,0)+IF(K10="K2",S28,0)+IF(K11="K2",T28,0)+IF(K12="K2",U28,0)+IF(K13="K2",V28,0)+IF(K14="K2",W28,0)+IF(K15="K2",X28,0))/COUNTIF(K$6:K$15,"K2"),0)),"K2","K3")),IF(H56=(IFERROR((IF(K6="K2",O28,0)+IF(K7="K2",P28,0)+IF(K8="K2",Q28,0)+IF(K9="K2",R28,0)+IF(K10="K2",S28,0)+IF(K11="K2",T28,0)+IF(K12="K2",U28,0)+IF(K13="K2",V28,0)+IF(K14="K2",W28,0)+IF(K15="K2",X28,0))/COUNTIF(K$6:K$15,"K2"),0)),"K2","K3"))</f>
        <v>K2</v>
      </c>
    </row>
    <row r="57" spans="2:11" ht="13.5" customHeight="1" x14ac:dyDescent="0.25">
      <c r="B57" s="102">
        <f t="shared" si="6"/>
        <v>10</v>
      </c>
      <c r="C57" s="103" t="str">
        <f t="shared" si="6"/>
        <v>Joko Purnomo</v>
      </c>
      <c r="D57" s="105" t="str">
        <f t="shared" si="7"/>
        <v>K3</v>
      </c>
      <c r="E57" s="109">
        <f>IF(K15="K1","—",IFERROR((IF(K6="K1",O29,0)+IF(K7="K1",P29,0)+IF(K8="K1",Q29,0)+IF(K9="K1",R29,0)+IF(K10="K1",S29,0)+IF(K11="K1",T29,0)+IF(K12="K1",U29,0)+IF(K13="K1",V29,0)+IF(K14="K1",W29,0)+IF(K15="K1",X29,0))/COUNTIF(K$6:K$15,"K1"),0))</f>
        <v>10.366581004875165</v>
      </c>
      <c r="F57" s="108">
        <f>IF(K15="K2","—",IFERROR((IF(K6="K2",O29,0)+IF(K7="K2",P29,0)+IF(K8="K2",Q29,0)+IF(K9="K2",R29,0)+IF(K10="K2",S29,0)+IF(K11="K2",T29,0)+IF(K12="K2",U29,0)+IF(K13="K2",V29,0)+IF(K14="K2",W29,0)+IF(K15="K2",X29,0))/COUNTIF(K$6:K$15,"K2"),0))</f>
        <v>6.5</v>
      </c>
      <c r="G57" s="110" t="str">
        <f>IF(K15="K3","—",IFERROR((IF(K6="K3",O29,0)+IF(K7="K3",P29,0)+IF(K8="K3",Q29,0)+IF(K9="K3",R29,0)+IF(K10="K3",S29,0)+IF(K11="K3",T29,0)+IF(K12="K3",U29,0)+IF(K13="K3",V29,0)+IF(K14="K3",W29,0)+IF(K15="K3",X29,0))/COUNTIF(K$6:K$15,"K3"),0))</f>
        <v>—</v>
      </c>
      <c r="H57" s="108">
        <f>MIN(IF(K15&lt;&gt;"K1",IFERROR((IF(K6="K1",O29,0)+IF(K7="K1",P29,0)+IF(K8="K1",Q29,0)+IF(K9="K1",R29,0)+IF(K10="K1",S29,0)+IF(K11="K1",T29,0)+IF(K12="K1",U29,0)+IF(K13="K1",V29,0)+IF(K14="K1",W29,0)+IF(K15="K1",X29,0))/COUNTIF(K$6:K$15,"K1"),0),1E+99),IF(K15&lt;&gt;"K2",IFERROR((IF(K6="K2",O29,0)+IF(K7="K2",P29,0)+IF(K8="K2",Q29,0)+IF(K9="K2",R29,0)+IF(K10="K2",S29,0)+IF(K11="K2",T29,0)+IF(K12="K2",U29,0)+IF(K13="K2",V29,0)+IF(K14="K2",W29,0)+IF(K15="K2",X29,0))/COUNTIF(K$6:K$15,"K2"),0),1E+99),IF(K15&lt;&gt;"K3",IFERROR((IF(K6="K3",O29,0)+IF(K7="K3",P29,0)+IF(K8="K3",Q29,0)+IF(K9="K3",R29,0)+IF(K10="K3",S29,0)+IF(K11="K3",T29,0)+IF(K12="K3",U29,0)+IF(K13="K3",V29,0)+IF(K14="K3",W29,0)+IF(K15="K3",X29,0))/COUNTIF(K$6:K$15,"K3"),0),1E+99))</f>
        <v>6.5</v>
      </c>
      <c r="I57" s="103" t="str">
        <f>IF(K15&lt;&gt;"K1",IF(H57=(IFERROR((IF(K6="K1",O29,0)+IF(K7="K1",P29,0)+IF(K8="K1",Q29,0)+IF(K9="K1",R29,0)+IF(K10="K1",S29,0)+IF(K11="K1",T29,0)+IF(K12="K1",U29,0)+IF(K13="K1",V29,0)+IF(K14="K1",W29,0)+IF(K15="K1",X29,0))/COUNTIF(K$6:K$15,"K1"),0)),"K1",IF(H57=(IFERROR((IF(K6="K2",O29,0)+IF(K7="K2",P29,0)+IF(K8="K2",Q29,0)+IF(K9="K2",R29,0)+IF(K10="K2",S29,0)+IF(K11="K2",T29,0)+IF(K12="K2",U29,0)+IF(K13="K2",V29,0)+IF(K14="K2",W29,0)+IF(K15="K2",X29,0))/COUNTIF(K$6:K$15,"K2"),0)),"K2","K3")),IF(H57=(IFERROR((IF(K6="K2",O29,0)+IF(K7="K2",P29,0)+IF(K8="K2",Q29,0)+IF(K9="K2",R29,0)+IF(K10="K2",S29,0)+IF(K11="K2",T29,0)+IF(K12="K2",U29,0)+IF(K13="K2",V29,0)+IF(K14="K2",W29,0)+IF(K15="K2",X29,0))/COUNTIF(K$6:K$15,"K2"),0)),"K2","K3"))</f>
        <v>K2</v>
      </c>
    </row>
    <row r="60" spans="2:11" ht="15" customHeight="1" x14ac:dyDescent="0.25">
      <c r="B60" s="126" t="s">
        <v>118</v>
      </c>
      <c r="C60" s="126"/>
      <c r="D60" s="126"/>
      <c r="E60" s="126"/>
      <c r="F60" s="126"/>
      <c r="G60" s="126"/>
      <c r="H60" s="126"/>
      <c r="I60" s="126"/>
      <c r="J60" s="126"/>
      <c r="K60" s="126"/>
    </row>
    <row r="61" spans="2:11" x14ac:dyDescent="0.25">
      <c r="B61" s="101" t="s">
        <v>16</v>
      </c>
      <c r="C61" s="101" t="s">
        <v>96</v>
      </c>
      <c r="D61" s="101" t="s">
        <v>67</v>
      </c>
      <c r="E61" s="101" t="s">
        <v>119</v>
      </c>
      <c r="F61" s="101" t="s">
        <v>120</v>
      </c>
      <c r="G61" s="101" t="s">
        <v>121</v>
      </c>
      <c r="H61" s="101" t="s">
        <v>122</v>
      </c>
      <c r="I61" s="101" t="s">
        <v>123</v>
      </c>
      <c r="J61" s="101" t="s">
        <v>124</v>
      </c>
    </row>
    <row r="62" spans="2:11" x14ac:dyDescent="0.25">
      <c r="B62" s="102">
        <f t="shared" ref="B62:C71" si="8">B6</f>
        <v>1</v>
      </c>
      <c r="C62" s="103" t="str">
        <f t="shared" si="8"/>
        <v>Andi Setiawan</v>
      </c>
      <c r="D62" s="105" t="str">
        <f t="shared" ref="D62:D71" si="9">K6</f>
        <v>K1</v>
      </c>
      <c r="E62" s="102">
        <f t="shared" ref="E62:E71" si="10">G34</f>
        <v>2.9428090415820631</v>
      </c>
      <c r="F62" s="102">
        <f t="shared" ref="F62:F71" si="11">H48</f>
        <v>3.9115002793392142</v>
      </c>
      <c r="G62" s="102">
        <f t="shared" ref="G62:G71" si="12">F62-E62</f>
        <v>0.96869123775715105</v>
      </c>
      <c r="H62" s="102">
        <f t="shared" ref="H62:H71" si="13">MAX(E62,F62)</f>
        <v>3.9115002793392142</v>
      </c>
      <c r="I62" s="111">
        <f t="shared" ref="I62:I71" si="14">IFERROR((F62-E62)/MAX(E62,F62),0)</f>
        <v>0.24765209474069014</v>
      </c>
      <c r="J62" s="103" t="str">
        <f t="shared" ref="J62:J71" si="15">IF(I62&gt;0.7,"Sangat baik",IF(I62&gt;0.5,"Baik",IF(I62&gt;0.25,"Struktur lemah","Salah klaster")))</f>
        <v>Salah klaster</v>
      </c>
    </row>
    <row r="63" spans="2:11" x14ac:dyDescent="0.25">
      <c r="B63" s="102">
        <f t="shared" si="8"/>
        <v>2</v>
      </c>
      <c r="C63" s="103" t="str">
        <f t="shared" si="8"/>
        <v>Budi Santoso</v>
      </c>
      <c r="D63" s="105" t="str">
        <f t="shared" si="9"/>
        <v>K3</v>
      </c>
      <c r="E63" s="102">
        <f t="shared" si="10"/>
        <v>2.9185347457556454</v>
      </c>
      <c r="F63" s="102">
        <f t="shared" si="11"/>
        <v>4.4485269487965855</v>
      </c>
      <c r="G63" s="102">
        <f t="shared" si="12"/>
        <v>1.5299922030409401</v>
      </c>
      <c r="H63" s="102">
        <f t="shared" si="13"/>
        <v>4.4485269487965855</v>
      </c>
      <c r="I63" s="111">
        <f t="shared" si="14"/>
        <v>0.34393232201388219</v>
      </c>
      <c r="J63" s="103" t="str">
        <f t="shared" si="15"/>
        <v>Struktur lemah</v>
      </c>
    </row>
    <row r="64" spans="2:11" x14ac:dyDescent="0.25">
      <c r="B64" s="102">
        <f t="shared" si="8"/>
        <v>3</v>
      </c>
      <c r="C64" s="103" t="str">
        <f t="shared" si="8"/>
        <v>Citra Dewi</v>
      </c>
      <c r="D64" s="105" t="str">
        <f t="shared" si="9"/>
        <v>K1</v>
      </c>
      <c r="E64" s="102">
        <f t="shared" si="10"/>
        <v>2.4120226591665967</v>
      </c>
      <c r="F64" s="102">
        <f t="shared" si="11"/>
        <v>5.098769333272088</v>
      </c>
      <c r="G64" s="102">
        <f t="shared" si="12"/>
        <v>2.6867466741054913</v>
      </c>
      <c r="H64" s="102">
        <f t="shared" si="13"/>
        <v>5.098769333272088</v>
      </c>
      <c r="I64" s="111">
        <f t="shared" si="14"/>
        <v>0.52694022782577943</v>
      </c>
      <c r="J64" s="103" t="str">
        <f t="shared" si="15"/>
        <v>Baik</v>
      </c>
    </row>
    <row r="65" spans="2:11" x14ac:dyDescent="0.25">
      <c r="B65" s="102">
        <f t="shared" si="8"/>
        <v>4</v>
      </c>
      <c r="C65" s="103" t="str">
        <f t="shared" si="8"/>
        <v>Dian Pratiwi</v>
      </c>
      <c r="D65" s="105" t="str">
        <f t="shared" si="9"/>
        <v>K3</v>
      </c>
      <c r="E65" s="102">
        <f t="shared" si="10"/>
        <v>3.097167540709727</v>
      </c>
      <c r="F65" s="102">
        <f t="shared" si="11"/>
        <v>4.0086270528065997</v>
      </c>
      <c r="G65" s="102">
        <f t="shared" si="12"/>
        <v>0.9114595120968727</v>
      </c>
      <c r="H65" s="102">
        <f t="shared" si="13"/>
        <v>4.0086270528065997</v>
      </c>
      <c r="I65" s="111">
        <f t="shared" si="14"/>
        <v>0.22737448510175662</v>
      </c>
      <c r="J65" s="103" t="str">
        <f t="shared" si="15"/>
        <v>Salah klaster</v>
      </c>
    </row>
    <row r="66" spans="2:11" x14ac:dyDescent="0.25">
      <c r="B66" s="102">
        <f t="shared" si="8"/>
        <v>5</v>
      </c>
      <c r="C66" s="103" t="str">
        <f t="shared" si="8"/>
        <v>Eko Wahyudi</v>
      </c>
      <c r="D66" s="105" t="str">
        <f t="shared" si="9"/>
        <v>K2</v>
      </c>
      <c r="E66" s="102">
        <f t="shared" si="10"/>
        <v>3.6055512754639891</v>
      </c>
      <c r="F66" s="102">
        <f t="shared" si="11"/>
        <v>3.4502966441207317</v>
      </c>
      <c r="G66" s="102">
        <f t="shared" si="12"/>
        <v>-0.15525463134325745</v>
      </c>
      <c r="H66" s="102">
        <f t="shared" si="13"/>
        <v>3.6055512754639891</v>
      </c>
      <c r="I66" s="111">
        <f t="shared" si="14"/>
        <v>-4.3059887235490257E-2</v>
      </c>
      <c r="J66" s="103" t="str">
        <f t="shared" si="15"/>
        <v>Salah klaster</v>
      </c>
    </row>
    <row r="67" spans="2:11" x14ac:dyDescent="0.25">
      <c r="B67" s="102">
        <f t="shared" si="8"/>
        <v>6</v>
      </c>
      <c r="C67" s="103" t="str">
        <f t="shared" si="8"/>
        <v>Fitri Handayani</v>
      </c>
      <c r="D67" s="105" t="str">
        <f t="shared" si="9"/>
        <v>K3</v>
      </c>
      <c r="E67" s="102">
        <f t="shared" si="10"/>
        <v>3.097167540709727</v>
      </c>
      <c r="F67" s="102">
        <f t="shared" si="11"/>
        <v>6.884102914019536</v>
      </c>
      <c r="G67" s="102">
        <f t="shared" si="12"/>
        <v>3.786935373309809</v>
      </c>
      <c r="H67" s="102">
        <f t="shared" si="13"/>
        <v>6.884102914019536</v>
      </c>
      <c r="I67" s="111">
        <f t="shared" si="14"/>
        <v>0.55009859971699171</v>
      </c>
      <c r="J67" s="103" t="str">
        <f t="shared" si="15"/>
        <v>Baik</v>
      </c>
    </row>
    <row r="68" spans="2:11" x14ac:dyDescent="0.25">
      <c r="B68" s="102">
        <f t="shared" si="8"/>
        <v>7</v>
      </c>
      <c r="C68" s="103" t="str">
        <f t="shared" si="8"/>
        <v>Galih Nugroho</v>
      </c>
      <c r="D68" s="105" t="str">
        <f t="shared" si="9"/>
        <v>K1</v>
      </c>
      <c r="E68" s="102">
        <f t="shared" si="10"/>
        <v>2.4335210265819232</v>
      </c>
      <c r="F68" s="102">
        <f t="shared" si="11"/>
        <v>4.7734320727179869</v>
      </c>
      <c r="G68" s="102">
        <f t="shared" si="12"/>
        <v>2.3399110461360637</v>
      </c>
      <c r="H68" s="102">
        <f t="shared" si="13"/>
        <v>4.7734320727179869</v>
      </c>
      <c r="I68" s="111">
        <f t="shared" si="14"/>
        <v>0.49019468811749972</v>
      </c>
      <c r="J68" s="103" t="str">
        <f t="shared" si="15"/>
        <v>Struktur lemah</v>
      </c>
    </row>
    <row r="69" spans="2:11" x14ac:dyDescent="0.25">
      <c r="B69" s="102">
        <f t="shared" si="8"/>
        <v>8</v>
      </c>
      <c r="C69" s="103" t="str">
        <f t="shared" si="8"/>
        <v>Hana Putri</v>
      </c>
      <c r="D69" s="105" t="str">
        <f t="shared" si="9"/>
        <v>K2</v>
      </c>
      <c r="E69" s="102">
        <f t="shared" si="10"/>
        <v>3.6055512754639891</v>
      </c>
      <c r="F69" s="102">
        <f t="shared" si="11"/>
        <v>4.2214982282731164</v>
      </c>
      <c r="G69" s="102">
        <f t="shared" si="12"/>
        <v>0.61594695280912726</v>
      </c>
      <c r="H69" s="102">
        <f t="shared" si="13"/>
        <v>4.2214982282731164</v>
      </c>
      <c r="I69" s="111">
        <f t="shared" si="14"/>
        <v>0.1459071920684169</v>
      </c>
      <c r="J69" s="103" t="str">
        <f t="shared" si="15"/>
        <v>Salah klaster</v>
      </c>
    </row>
    <row r="70" spans="2:11" x14ac:dyDescent="0.25">
      <c r="B70" s="102">
        <f t="shared" si="8"/>
        <v>9</v>
      </c>
      <c r="C70" s="103" t="str">
        <f t="shared" si="8"/>
        <v>Indra Kusuma</v>
      </c>
      <c r="D70" s="105" t="str">
        <f t="shared" si="9"/>
        <v>K1</v>
      </c>
      <c r="E70" s="102">
        <f t="shared" si="10"/>
        <v>2.4120226591665967</v>
      </c>
      <c r="F70" s="102">
        <f t="shared" si="11"/>
        <v>4.3284271247461898</v>
      </c>
      <c r="G70" s="102">
        <f t="shared" si="12"/>
        <v>1.9164044655795931</v>
      </c>
      <c r="H70" s="102">
        <f t="shared" si="13"/>
        <v>4.3284271247461898</v>
      </c>
      <c r="I70" s="111">
        <f t="shared" si="14"/>
        <v>0.44274846505402748</v>
      </c>
      <c r="J70" s="103" t="str">
        <f t="shared" si="15"/>
        <v>Struktur lemah</v>
      </c>
    </row>
    <row r="71" spans="2:11" x14ac:dyDescent="0.25">
      <c r="B71" s="102">
        <f t="shared" si="8"/>
        <v>10</v>
      </c>
      <c r="C71" s="103" t="str">
        <f t="shared" si="8"/>
        <v>Joko Purnomo</v>
      </c>
      <c r="D71" s="105" t="str">
        <f t="shared" si="9"/>
        <v>K3</v>
      </c>
      <c r="E71" s="102">
        <f t="shared" si="10"/>
        <v>2.9185347457556454</v>
      </c>
      <c r="F71" s="102">
        <f t="shared" si="11"/>
        <v>6.5</v>
      </c>
      <c r="G71" s="102">
        <f t="shared" si="12"/>
        <v>3.5814652542443546</v>
      </c>
      <c r="H71" s="102">
        <f t="shared" si="13"/>
        <v>6.5</v>
      </c>
      <c r="I71" s="111">
        <f t="shared" si="14"/>
        <v>0.55099465449913143</v>
      </c>
      <c r="J71" s="103" t="str">
        <f t="shared" si="15"/>
        <v>Baik</v>
      </c>
    </row>
    <row r="73" spans="2:11" ht="21.75" customHeight="1" x14ac:dyDescent="0.25">
      <c r="B73" s="127" t="s">
        <v>125</v>
      </c>
      <c r="C73" s="127"/>
      <c r="D73" s="127"/>
      <c r="E73" s="127"/>
      <c r="F73" s="127"/>
      <c r="G73" s="127"/>
      <c r="H73" s="127"/>
      <c r="I73" s="112">
        <f>AVERAGE(I62:I71)</f>
        <v>0.34827828419026857</v>
      </c>
      <c r="J73" s="128" t="str">
        <f>IF(I73&gt;=0.7,"✔ SANGAT VALID (S ≥ 0.7)",IF(I73&gt;=0.5,"✔ VALID (S ≥ 0.5)",IF(I73&gt;=0.25,"⚠ STRUKTUR LEMAH","✖ TIDAK VALID")))</f>
        <v>⚠ STRUKTUR LEMAH</v>
      </c>
      <c r="K73" s="128"/>
    </row>
  </sheetData>
  <mergeCells count="9">
    <mergeCell ref="B46:K46"/>
    <mergeCell ref="B60:K60"/>
    <mergeCell ref="B73:H73"/>
    <mergeCell ref="J73:K73"/>
    <mergeCell ref="B1:AE1"/>
    <mergeCell ref="B2:AE2"/>
    <mergeCell ref="B4:K4"/>
    <mergeCell ref="M18:X18"/>
    <mergeCell ref="B32:K3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showGridLines="0" topLeftCell="A4" zoomScaleNormal="100" workbookViewId="0">
      <selection activeCell="E38" sqref="E38"/>
    </sheetView>
  </sheetViews>
  <sheetFormatPr defaultColWidth="8.7109375" defaultRowHeight="15" x14ac:dyDescent="0.25"/>
  <cols>
    <col min="1" max="1" width="5" style="1" customWidth="1"/>
    <col min="2" max="2" width="24" style="1" customWidth="1"/>
    <col min="3" max="9" width="12" style="1" customWidth="1"/>
    <col min="10" max="11" width="14" style="1" customWidth="1"/>
  </cols>
  <sheetData>
    <row r="1" spans="2:11" ht="15" customHeight="1" x14ac:dyDescent="0.25">
      <c r="B1" s="134" t="s">
        <v>126</v>
      </c>
      <c r="C1" s="134"/>
      <c r="D1" s="134"/>
      <c r="E1" s="134"/>
      <c r="F1" s="134"/>
      <c r="G1" s="134"/>
      <c r="H1" s="134"/>
      <c r="I1" s="134"/>
      <c r="J1" s="134"/>
      <c r="K1" s="134"/>
    </row>
    <row r="2" spans="2:11" ht="15" customHeight="1" x14ac:dyDescent="0.25">
      <c r="B2" s="115" t="s">
        <v>127</v>
      </c>
      <c r="C2" s="115"/>
      <c r="D2" s="115"/>
      <c r="E2" s="115"/>
      <c r="F2" s="115"/>
      <c r="G2" s="115"/>
      <c r="H2" s="115"/>
      <c r="I2" s="115"/>
      <c r="J2" s="115"/>
      <c r="K2" s="115"/>
    </row>
    <row r="4" spans="2:11" ht="15" customHeight="1" x14ac:dyDescent="0.25">
      <c r="B4" s="135" t="s">
        <v>128</v>
      </c>
      <c r="C4" s="135"/>
      <c r="D4" s="135"/>
      <c r="E4" s="135"/>
      <c r="F4" s="135"/>
      <c r="G4" s="135"/>
      <c r="H4" s="135"/>
      <c r="I4" s="135"/>
      <c r="J4" s="135"/>
      <c r="K4" s="135"/>
    </row>
    <row r="5" spans="2:11" ht="36" customHeight="1" x14ac:dyDescent="0.25">
      <c r="B5" s="61" t="s">
        <v>129</v>
      </c>
      <c r="C5" s="62" t="s">
        <v>130</v>
      </c>
      <c r="D5" s="62" t="s">
        <v>131</v>
      </c>
      <c r="E5" s="62" t="s">
        <v>132</v>
      </c>
      <c r="F5" s="62" t="s">
        <v>133</v>
      </c>
      <c r="G5" s="62" t="s">
        <v>134</v>
      </c>
      <c r="H5" s="62" t="s">
        <v>135</v>
      </c>
      <c r="I5" s="62" t="s">
        <v>136</v>
      </c>
    </row>
    <row r="6" spans="2:11" ht="15" customHeight="1" x14ac:dyDescent="0.25">
      <c r="B6" s="59" t="s">
        <v>130</v>
      </c>
      <c r="C6" s="60">
        <v>1</v>
      </c>
      <c r="D6" s="63">
        <v>3</v>
      </c>
      <c r="E6" s="63">
        <v>5</v>
      </c>
      <c r="F6" s="63">
        <v>7</v>
      </c>
      <c r="G6" s="63">
        <v>5</v>
      </c>
      <c r="H6" s="63">
        <v>7</v>
      </c>
      <c r="I6" s="63">
        <v>9</v>
      </c>
    </row>
    <row r="7" spans="2:11" ht="15" customHeight="1" x14ac:dyDescent="0.25">
      <c r="B7" s="59" t="s">
        <v>131</v>
      </c>
      <c r="C7" s="64">
        <f>1/D6</f>
        <v>0.33333333333333331</v>
      </c>
      <c r="D7" s="60">
        <v>1</v>
      </c>
      <c r="E7" s="63">
        <v>3</v>
      </c>
      <c r="F7" s="63">
        <v>5</v>
      </c>
      <c r="G7" s="63">
        <v>3</v>
      </c>
      <c r="H7" s="63">
        <v>5</v>
      </c>
      <c r="I7" s="63">
        <v>7</v>
      </c>
    </row>
    <row r="8" spans="2:11" ht="15" customHeight="1" x14ac:dyDescent="0.25">
      <c r="B8" s="59" t="s">
        <v>132</v>
      </c>
      <c r="C8" s="64">
        <f>1/E6</f>
        <v>0.2</v>
      </c>
      <c r="D8" s="64">
        <f>1/E7</f>
        <v>0.33333333333333331</v>
      </c>
      <c r="E8" s="60">
        <v>1</v>
      </c>
      <c r="F8" s="63">
        <v>3</v>
      </c>
      <c r="G8" s="63">
        <v>1</v>
      </c>
      <c r="H8" s="63">
        <v>3</v>
      </c>
      <c r="I8" s="63">
        <v>5</v>
      </c>
    </row>
    <row r="9" spans="2:11" ht="15" customHeight="1" x14ac:dyDescent="0.25">
      <c r="B9" s="59" t="s">
        <v>133</v>
      </c>
      <c r="C9" s="64">
        <f>1/F6</f>
        <v>0.14285714285714285</v>
      </c>
      <c r="D9" s="64">
        <f>1/F7</f>
        <v>0.2</v>
      </c>
      <c r="E9" s="64">
        <f>1/F8</f>
        <v>0.33333333333333331</v>
      </c>
      <c r="F9" s="60">
        <v>1</v>
      </c>
      <c r="G9" s="63">
        <v>0.33333333333333298</v>
      </c>
      <c r="H9" s="63">
        <v>1</v>
      </c>
      <c r="I9" s="63">
        <v>3</v>
      </c>
    </row>
    <row r="10" spans="2:11" ht="15" customHeight="1" x14ac:dyDescent="0.25">
      <c r="B10" s="59" t="s">
        <v>134</v>
      </c>
      <c r="C10" s="64">
        <f>1/G6</f>
        <v>0.2</v>
      </c>
      <c r="D10" s="64">
        <f>1/G7</f>
        <v>0.33333333333333331</v>
      </c>
      <c r="E10" s="64">
        <f>1/G8</f>
        <v>1</v>
      </c>
      <c r="F10" s="64">
        <f>1/G9</f>
        <v>3.0000000000000031</v>
      </c>
      <c r="G10" s="60">
        <v>1</v>
      </c>
      <c r="H10" s="63">
        <v>3</v>
      </c>
      <c r="I10" s="63">
        <v>5</v>
      </c>
    </row>
    <row r="11" spans="2:11" ht="15" customHeight="1" x14ac:dyDescent="0.25">
      <c r="B11" s="59" t="s">
        <v>135</v>
      </c>
      <c r="C11" s="64">
        <f>1/H6</f>
        <v>0.14285714285714285</v>
      </c>
      <c r="D11" s="64">
        <f>1/H7</f>
        <v>0.2</v>
      </c>
      <c r="E11" s="64">
        <f>1/H8</f>
        <v>0.33333333333333331</v>
      </c>
      <c r="F11" s="64">
        <f>1/H9</f>
        <v>1</v>
      </c>
      <c r="G11" s="64">
        <f>1/H10</f>
        <v>0.33333333333333331</v>
      </c>
      <c r="H11" s="60">
        <v>1</v>
      </c>
      <c r="I11" s="63">
        <v>3</v>
      </c>
    </row>
    <row r="12" spans="2:11" ht="15" customHeight="1" x14ac:dyDescent="0.25">
      <c r="B12" s="59" t="s">
        <v>136</v>
      </c>
      <c r="C12" s="64">
        <f>1/I6</f>
        <v>0.1111111111111111</v>
      </c>
      <c r="D12" s="64">
        <f>1/I7</f>
        <v>0.14285714285714285</v>
      </c>
      <c r="E12" s="64">
        <f>1/I8</f>
        <v>0.2</v>
      </c>
      <c r="F12" s="64">
        <f>1/I9</f>
        <v>0.33333333333333331</v>
      </c>
      <c r="G12" s="64">
        <f>1/I10</f>
        <v>0.2</v>
      </c>
      <c r="H12" s="64">
        <f>1/I11</f>
        <v>0.33333333333333331</v>
      </c>
      <c r="I12" s="60">
        <v>1</v>
      </c>
    </row>
    <row r="13" spans="2:11" ht="15" customHeight="1" x14ac:dyDescent="0.25">
      <c r="B13" s="61" t="s">
        <v>137</v>
      </c>
      <c r="C13" s="65">
        <f t="shared" ref="C13:I13" si="0">SUM(C6:C12)</f>
        <v>2.1301587301587301</v>
      </c>
      <c r="D13" s="65">
        <f t="shared" si="0"/>
        <v>5.2095238095238097</v>
      </c>
      <c r="E13" s="65">
        <f t="shared" si="0"/>
        <v>10.866666666666667</v>
      </c>
      <c r="F13" s="65">
        <f t="shared" si="0"/>
        <v>20.333333333333336</v>
      </c>
      <c r="G13" s="65">
        <f t="shared" si="0"/>
        <v>10.866666666666665</v>
      </c>
      <c r="H13" s="65">
        <f t="shared" si="0"/>
        <v>20.333333333333332</v>
      </c>
      <c r="I13" s="65">
        <f t="shared" si="0"/>
        <v>33</v>
      </c>
    </row>
    <row r="15" spans="2:11" ht="15" customHeight="1" x14ac:dyDescent="0.25">
      <c r="B15" s="135" t="s">
        <v>138</v>
      </c>
      <c r="C15" s="135"/>
      <c r="D15" s="135"/>
      <c r="E15" s="135"/>
      <c r="F15" s="135"/>
      <c r="G15" s="135"/>
      <c r="H15" s="135"/>
      <c r="I15" s="135"/>
      <c r="J15" s="135"/>
      <c r="K15" s="135"/>
    </row>
    <row r="16" spans="2:11" ht="36" customHeight="1" x14ac:dyDescent="0.25">
      <c r="B16" s="61" t="s">
        <v>139</v>
      </c>
      <c r="C16" s="62" t="s">
        <v>130</v>
      </c>
      <c r="D16" s="62" t="s">
        <v>131</v>
      </c>
      <c r="E16" s="62" t="s">
        <v>132</v>
      </c>
      <c r="F16" s="62" t="s">
        <v>133</v>
      </c>
      <c r="G16" s="62" t="s">
        <v>134</v>
      </c>
      <c r="H16" s="62" t="s">
        <v>135</v>
      </c>
      <c r="I16" s="62" t="s">
        <v>136</v>
      </c>
      <c r="J16" s="66" t="s">
        <v>140</v>
      </c>
    </row>
    <row r="17" spans="2:22" ht="15" customHeight="1" x14ac:dyDescent="0.25">
      <c r="B17" s="59" t="s">
        <v>130</v>
      </c>
      <c r="C17" s="67">
        <f t="shared" ref="C17:I17" si="1">C6/C13</f>
        <v>0.4694485842026826</v>
      </c>
      <c r="D17" s="68">
        <f t="shared" si="1"/>
        <v>0.57586837294332727</v>
      </c>
      <c r="E17" s="68">
        <f t="shared" si="1"/>
        <v>0.46012269938650302</v>
      </c>
      <c r="F17" s="68">
        <f t="shared" si="1"/>
        <v>0.34426229508196715</v>
      </c>
      <c r="G17" s="68">
        <f t="shared" si="1"/>
        <v>0.46012269938650313</v>
      </c>
      <c r="H17" s="68">
        <f t="shared" si="1"/>
        <v>0.34426229508196721</v>
      </c>
      <c r="I17" s="68">
        <f t="shared" si="1"/>
        <v>0.27272727272727271</v>
      </c>
      <c r="J17" s="69">
        <f t="shared" ref="J17:J23" si="2">AVERAGE(C17:I17)</f>
        <v>0.41811631697288909</v>
      </c>
      <c r="P17" s="67">
        <f t="shared" ref="P17:V17" si="3">C6/C13</f>
        <v>0.4694485842026826</v>
      </c>
      <c r="Q17" s="68">
        <f t="shared" si="3"/>
        <v>0.57586837294332727</v>
      </c>
      <c r="R17" s="68">
        <f t="shared" si="3"/>
        <v>0.46012269938650302</v>
      </c>
      <c r="S17" s="68">
        <f t="shared" si="3"/>
        <v>0.34426229508196715</v>
      </c>
      <c r="T17" s="68">
        <f t="shared" si="3"/>
        <v>0.46012269938650313</v>
      </c>
      <c r="U17" s="68">
        <f t="shared" si="3"/>
        <v>0.34426229508196721</v>
      </c>
      <c r="V17" s="68">
        <f t="shared" si="3"/>
        <v>0.27272727272727271</v>
      </c>
    </row>
    <row r="18" spans="2:22" ht="15" customHeight="1" x14ac:dyDescent="0.25">
      <c r="B18" s="59" t="s">
        <v>131</v>
      </c>
      <c r="C18" s="68">
        <f t="shared" ref="C18:I18" si="4">C7/C13</f>
        <v>0.15648286140089418</v>
      </c>
      <c r="D18" s="67">
        <f t="shared" si="4"/>
        <v>0.19195612431444239</v>
      </c>
      <c r="E18" s="68">
        <f t="shared" si="4"/>
        <v>0.2760736196319018</v>
      </c>
      <c r="F18" s="68">
        <f t="shared" si="4"/>
        <v>0.24590163934426226</v>
      </c>
      <c r="G18" s="68">
        <f t="shared" si="4"/>
        <v>0.27607361963190186</v>
      </c>
      <c r="H18" s="68">
        <f t="shared" si="4"/>
        <v>0.24590163934426232</v>
      </c>
      <c r="I18" s="68">
        <f t="shared" si="4"/>
        <v>0.21212121212121213</v>
      </c>
      <c r="J18" s="69">
        <f t="shared" si="2"/>
        <v>0.22921581654126813</v>
      </c>
      <c r="P18" s="68">
        <f t="shared" ref="P18:V18" si="5">C7/C13</f>
        <v>0.15648286140089418</v>
      </c>
      <c r="Q18" s="67">
        <f t="shared" si="5"/>
        <v>0.19195612431444239</v>
      </c>
      <c r="R18" s="68">
        <f t="shared" si="5"/>
        <v>0.2760736196319018</v>
      </c>
      <c r="S18" s="68">
        <f t="shared" si="5"/>
        <v>0.24590163934426226</v>
      </c>
      <c r="T18" s="68">
        <f t="shared" si="5"/>
        <v>0.27607361963190186</v>
      </c>
      <c r="U18" s="68">
        <f t="shared" si="5"/>
        <v>0.24590163934426232</v>
      </c>
      <c r="V18" s="68">
        <f t="shared" si="5"/>
        <v>0.21212121212121213</v>
      </c>
    </row>
    <row r="19" spans="2:22" ht="15" customHeight="1" x14ac:dyDescent="0.25">
      <c r="B19" s="59" t="s">
        <v>132</v>
      </c>
      <c r="C19" s="68">
        <f t="shared" ref="C19:I19" si="6">C8/C13</f>
        <v>9.3889716840536513E-2</v>
      </c>
      <c r="D19" s="68">
        <f t="shared" si="6"/>
        <v>6.3985374771480794E-2</v>
      </c>
      <c r="E19" s="67">
        <f t="shared" si="6"/>
        <v>9.202453987730061E-2</v>
      </c>
      <c r="F19" s="68">
        <f t="shared" si="6"/>
        <v>0.14754098360655735</v>
      </c>
      <c r="G19" s="68">
        <f t="shared" si="6"/>
        <v>9.2024539877300623E-2</v>
      </c>
      <c r="H19" s="68">
        <f t="shared" si="6"/>
        <v>0.14754098360655737</v>
      </c>
      <c r="I19" s="68">
        <f t="shared" si="6"/>
        <v>0.15151515151515152</v>
      </c>
      <c r="J19" s="69">
        <f t="shared" si="2"/>
        <v>0.11264589858498353</v>
      </c>
      <c r="P19" s="68">
        <f t="shared" ref="P19:V19" si="7">C8/C13</f>
        <v>9.3889716840536513E-2</v>
      </c>
      <c r="Q19" s="68">
        <f t="shared" si="7"/>
        <v>6.3985374771480794E-2</v>
      </c>
      <c r="R19" s="67">
        <f t="shared" si="7"/>
        <v>9.202453987730061E-2</v>
      </c>
      <c r="S19" s="68">
        <f t="shared" si="7"/>
        <v>0.14754098360655735</v>
      </c>
      <c r="T19" s="68">
        <f t="shared" si="7"/>
        <v>9.2024539877300623E-2</v>
      </c>
      <c r="U19" s="68">
        <f t="shared" si="7"/>
        <v>0.14754098360655737</v>
      </c>
      <c r="V19" s="68">
        <f t="shared" si="7"/>
        <v>0.15151515151515152</v>
      </c>
    </row>
    <row r="20" spans="2:22" ht="15" customHeight="1" x14ac:dyDescent="0.25">
      <c r="B20" s="59" t="s">
        <v>133</v>
      </c>
      <c r="C20" s="68">
        <f t="shared" ref="C20:I20" si="8">C9/C13</f>
        <v>6.7064083457526083E-2</v>
      </c>
      <c r="D20" s="68">
        <f t="shared" si="8"/>
        <v>3.8391224862888484E-2</v>
      </c>
      <c r="E20" s="68">
        <f t="shared" si="8"/>
        <v>3.0674846625766868E-2</v>
      </c>
      <c r="F20" s="67">
        <f t="shared" si="8"/>
        <v>4.9180327868852451E-2</v>
      </c>
      <c r="G20" s="68">
        <f t="shared" si="8"/>
        <v>3.0674846625766843E-2</v>
      </c>
      <c r="H20" s="68">
        <f t="shared" si="8"/>
        <v>4.9180327868852465E-2</v>
      </c>
      <c r="I20" s="68">
        <f t="shared" si="8"/>
        <v>9.0909090909090912E-2</v>
      </c>
      <c r="J20" s="69">
        <f t="shared" si="2"/>
        <v>5.0867821174106299E-2</v>
      </c>
      <c r="P20" s="68">
        <f t="shared" ref="P20:V20" si="9">C9/C13</f>
        <v>6.7064083457526083E-2</v>
      </c>
      <c r="Q20" s="68">
        <f t="shared" si="9"/>
        <v>3.8391224862888484E-2</v>
      </c>
      <c r="R20" s="68">
        <f t="shared" si="9"/>
        <v>3.0674846625766868E-2</v>
      </c>
      <c r="S20" s="67">
        <f t="shared" si="9"/>
        <v>4.9180327868852451E-2</v>
      </c>
      <c r="T20" s="68">
        <f t="shared" si="9"/>
        <v>3.0674846625766843E-2</v>
      </c>
      <c r="U20" s="68">
        <f t="shared" si="9"/>
        <v>4.9180327868852465E-2</v>
      </c>
      <c r="V20" s="68">
        <f t="shared" si="9"/>
        <v>9.0909090909090912E-2</v>
      </c>
    </row>
    <row r="21" spans="2:22" ht="15" customHeight="1" x14ac:dyDescent="0.25">
      <c r="B21" s="59" t="s">
        <v>134</v>
      </c>
      <c r="C21" s="68">
        <f t="shared" ref="C21:I21" si="10">C10/C13</f>
        <v>9.3889716840536513E-2</v>
      </c>
      <c r="D21" s="68">
        <f t="shared" si="10"/>
        <v>6.3985374771480794E-2</v>
      </c>
      <c r="E21" s="68">
        <f t="shared" si="10"/>
        <v>9.202453987730061E-2</v>
      </c>
      <c r="F21" s="68">
        <f t="shared" si="10"/>
        <v>0.14754098360655751</v>
      </c>
      <c r="G21" s="67">
        <f t="shared" si="10"/>
        <v>9.2024539877300623E-2</v>
      </c>
      <c r="H21" s="68">
        <f t="shared" si="10"/>
        <v>0.14754098360655737</v>
      </c>
      <c r="I21" s="68">
        <f t="shared" si="10"/>
        <v>0.15151515151515152</v>
      </c>
      <c r="J21" s="69">
        <f t="shared" si="2"/>
        <v>0.11264589858498356</v>
      </c>
      <c r="P21" s="68">
        <f t="shared" ref="P21:V21" si="11">C10/C13</f>
        <v>9.3889716840536513E-2</v>
      </c>
      <c r="Q21" s="68">
        <f t="shared" si="11"/>
        <v>6.3985374771480794E-2</v>
      </c>
      <c r="R21" s="68">
        <f t="shared" si="11"/>
        <v>9.202453987730061E-2</v>
      </c>
      <c r="S21" s="68">
        <f t="shared" si="11"/>
        <v>0.14754098360655751</v>
      </c>
      <c r="T21" s="67">
        <f t="shared" si="11"/>
        <v>9.2024539877300623E-2</v>
      </c>
      <c r="U21" s="68">
        <f t="shared" si="11"/>
        <v>0.14754098360655737</v>
      </c>
      <c r="V21" s="68">
        <f t="shared" si="11"/>
        <v>0.15151515151515152</v>
      </c>
    </row>
    <row r="22" spans="2:22" ht="15" customHeight="1" x14ac:dyDescent="0.25">
      <c r="B22" s="59" t="s">
        <v>135</v>
      </c>
      <c r="C22" s="68">
        <f t="shared" ref="C22:I22" si="12">C11/C13</f>
        <v>6.7064083457526083E-2</v>
      </c>
      <c r="D22" s="68">
        <f t="shared" si="12"/>
        <v>3.8391224862888484E-2</v>
      </c>
      <c r="E22" s="68">
        <f t="shared" si="12"/>
        <v>3.0674846625766868E-2</v>
      </c>
      <c r="F22" s="68">
        <f t="shared" si="12"/>
        <v>4.9180327868852451E-2</v>
      </c>
      <c r="G22" s="68">
        <f t="shared" si="12"/>
        <v>3.0674846625766874E-2</v>
      </c>
      <c r="H22" s="67">
        <f t="shared" si="12"/>
        <v>4.9180327868852465E-2</v>
      </c>
      <c r="I22" s="68">
        <f t="shared" si="12"/>
        <v>9.0909090909090912E-2</v>
      </c>
      <c r="J22" s="69">
        <f t="shared" si="2"/>
        <v>5.0867821174106313E-2</v>
      </c>
      <c r="P22" s="68">
        <f t="shared" ref="P22:V22" si="13">C11/C13</f>
        <v>6.7064083457526083E-2</v>
      </c>
      <c r="Q22" s="68">
        <f t="shared" si="13"/>
        <v>3.8391224862888484E-2</v>
      </c>
      <c r="R22" s="68">
        <f t="shared" si="13"/>
        <v>3.0674846625766868E-2</v>
      </c>
      <c r="S22" s="68">
        <f t="shared" si="13"/>
        <v>4.9180327868852451E-2</v>
      </c>
      <c r="T22" s="68">
        <f t="shared" si="13"/>
        <v>3.0674846625766874E-2</v>
      </c>
      <c r="U22" s="67">
        <f t="shared" si="13"/>
        <v>4.9180327868852465E-2</v>
      </c>
      <c r="V22" s="68">
        <f t="shared" si="13"/>
        <v>9.0909090909090912E-2</v>
      </c>
    </row>
    <row r="23" spans="2:22" ht="15" customHeight="1" x14ac:dyDescent="0.25">
      <c r="B23" s="59" t="s">
        <v>136</v>
      </c>
      <c r="C23" s="68">
        <f t="shared" ref="C23:I23" si="14">C12/C13</f>
        <v>5.216095380029806E-2</v>
      </c>
      <c r="D23" s="68">
        <f t="shared" si="14"/>
        <v>2.7422303473491772E-2</v>
      </c>
      <c r="E23" s="68">
        <f t="shared" si="14"/>
        <v>1.8404907975460124E-2</v>
      </c>
      <c r="F23" s="68">
        <f t="shared" si="14"/>
        <v>1.6393442622950817E-2</v>
      </c>
      <c r="G23" s="68">
        <f t="shared" si="14"/>
        <v>1.8404907975460127E-2</v>
      </c>
      <c r="H23" s="68">
        <f t="shared" si="14"/>
        <v>1.6393442622950821E-2</v>
      </c>
      <c r="I23" s="67">
        <f t="shared" si="14"/>
        <v>3.0303030303030304E-2</v>
      </c>
      <c r="J23" s="69">
        <f t="shared" si="2"/>
        <v>2.5640426967663145E-2</v>
      </c>
      <c r="P23" s="68">
        <f t="shared" ref="P23:V23" si="15">C12/C13</f>
        <v>5.216095380029806E-2</v>
      </c>
      <c r="Q23" s="68">
        <f t="shared" si="15"/>
        <v>2.7422303473491772E-2</v>
      </c>
      <c r="R23" s="68">
        <f t="shared" si="15"/>
        <v>1.8404907975460124E-2</v>
      </c>
      <c r="S23" s="68">
        <f t="shared" si="15"/>
        <v>1.6393442622950817E-2</v>
      </c>
      <c r="T23" s="68">
        <f t="shared" si="15"/>
        <v>1.8404907975460127E-2</v>
      </c>
      <c r="U23" s="68">
        <f t="shared" si="15"/>
        <v>1.6393442622950821E-2</v>
      </c>
      <c r="V23" s="67">
        <f t="shared" si="15"/>
        <v>3.0303030303030304E-2</v>
      </c>
    </row>
    <row r="25" spans="2:22" ht="15" customHeight="1" x14ac:dyDescent="0.25">
      <c r="B25" s="135" t="s">
        <v>141</v>
      </c>
      <c r="C25" s="135"/>
      <c r="D25" s="135"/>
      <c r="E25" s="135"/>
      <c r="F25" s="135"/>
      <c r="G25" s="135"/>
      <c r="H25" s="135"/>
      <c r="I25" s="135"/>
      <c r="J25" s="135"/>
      <c r="K25" s="135"/>
    </row>
    <row r="26" spans="2:22" ht="25.5" customHeight="1" x14ac:dyDescent="0.25">
      <c r="B26" s="61" t="s">
        <v>142</v>
      </c>
      <c r="C26" s="70">
        <f>C6*J17+D6*J18+E6*J19+F6*J20+G6*J21+H6*J22+I6*J23</f>
        <v>3.1751360915929854</v>
      </c>
      <c r="D26" s="70">
        <f>C7*J17+D7*J18+E7*J19+F7*J20+G7*J21+H7*J22+I7*J23</f>
        <v>1.7326245142235042</v>
      </c>
      <c r="E26" s="70">
        <f>C8*J17+D8*J18+E8*J19+F8*J20+G8*J21+H8*J22+I8*J23</f>
        <v>0.81872939462792105</v>
      </c>
      <c r="F26" s="70">
        <f>C9*J17+D9*J18+E9*J19+F9*J20+G9*J21+H9*J22+I9*J23</f>
        <v>0.35932825470747642</v>
      </c>
      <c r="G26" s="70">
        <f>C10*J17+D10*J18+E10*J19+F10*J20+G10*J21+H10*J22+I10*J23</f>
        <v>0.81872939462792127</v>
      </c>
      <c r="H26" s="70">
        <f>C11*J17+D11*J18+E11*J19+F11*J20+G11*J21+H11*J22+I11*J23</f>
        <v>0.35932825470747648</v>
      </c>
      <c r="I26" s="70">
        <f>C12*J17+D12*J18+E12*J19+F12*J20+G12*J21+H12*J22+I12*J23</f>
        <v>0.18381315238568993</v>
      </c>
    </row>
    <row r="27" spans="2:22" ht="25.5" customHeight="1" x14ac:dyDescent="0.25">
      <c r="B27" s="61" t="s">
        <v>143</v>
      </c>
      <c r="C27" s="64">
        <f>C26/J17</f>
        <v>7.5939061995489237</v>
      </c>
      <c r="D27" s="64">
        <f>D26/J18</f>
        <v>7.558922156279567</v>
      </c>
      <c r="E27" s="64">
        <f>E26/J19</f>
        <v>7.2681687030997084</v>
      </c>
      <c r="F27" s="64">
        <f>F26/J20</f>
        <v>7.0639600127081614</v>
      </c>
      <c r="G27" s="64">
        <f>G26/J21</f>
        <v>7.2681687030997093</v>
      </c>
      <c r="H27" s="64">
        <f>H26/J22</f>
        <v>7.0639600127081605</v>
      </c>
      <c r="I27" s="64">
        <f>I26/J23</f>
        <v>7.1688803239317727</v>
      </c>
    </row>
    <row r="28" spans="2:22" ht="15" customHeight="1" x14ac:dyDescent="0.25">
      <c r="B28" s="71" t="s">
        <v>144</v>
      </c>
      <c r="C28" s="132" t="s">
        <v>145</v>
      </c>
      <c r="D28" s="132"/>
      <c r="E28" s="132"/>
      <c r="F28" s="132"/>
      <c r="G28" s="132"/>
      <c r="H28" s="132"/>
      <c r="I28" s="132"/>
      <c r="J28" s="132"/>
      <c r="K28" s="132"/>
    </row>
    <row r="29" spans="2:22" ht="15" customHeight="1" x14ac:dyDescent="0.25">
      <c r="B29" s="71" t="s">
        <v>146</v>
      </c>
      <c r="C29" s="133">
        <f>AVERAGE(C27:I27)</f>
        <v>7.2837094444822856</v>
      </c>
      <c r="D29" s="133"/>
      <c r="E29" s="133"/>
      <c r="F29" s="133"/>
      <c r="G29" s="133"/>
      <c r="H29" s="133"/>
      <c r="I29" s="133"/>
      <c r="J29" s="133"/>
      <c r="K29" s="133"/>
    </row>
    <row r="30" spans="2:22" ht="15" customHeight="1" x14ac:dyDescent="0.25">
      <c r="B30" s="71" t="s">
        <v>147</v>
      </c>
      <c r="C30" s="133">
        <f>(C29-C28)/(C28-1)</f>
        <v>4.7284907413714272E-2</v>
      </c>
      <c r="D30" s="133"/>
      <c r="E30" s="133"/>
      <c r="F30" s="133"/>
      <c r="G30" s="133"/>
      <c r="H30" s="133"/>
      <c r="I30" s="133"/>
      <c r="J30" s="133"/>
      <c r="K30" s="133"/>
    </row>
    <row r="31" spans="2:22" ht="15" customHeight="1" x14ac:dyDescent="0.25">
      <c r="B31" s="71" t="s">
        <v>148</v>
      </c>
      <c r="C31" s="133">
        <v>1.32</v>
      </c>
      <c r="D31" s="133"/>
      <c r="E31" s="133"/>
      <c r="F31" s="133"/>
      <c r="G31" s="133"/>
      <c r="H31" s="133"/>
      <c r="I31" s="133"/>
      <c r="J31" s="133"/>
      <c r="K31" s="133"/>
    </row>
    <row r="32" spans="2:22" ht="15" customHeight="1" x14ac:dyDescent="0.25">
      <c r="B32" s="71" t="s">
        <v>149</v>
      </c>
      <c r="C32" s="133">
        <f>C30/C31</f>
        <v>3.5821899555844146E-2</v>
      </c>
      <c r="D32" s="133"/>
      <c r="E32" s="133"/>
      <c r="F32" s="133"/>
      <c r="G32" s="133"/>
      <c r="H32" s="133"/>
      <c r="I32" s="133"/>
      <c r="J32" s="133"/>
      <c r="K32" s="133"/>
    </row>
    <row r="33" spans="2:11" ht="15" customHeight="1" x14ac:dyDescent="0.25">
      <c r="B33" s="71" t="s">
        <v>150</v>
      </c>
      <c r="C33" s="131" t="str">
        <f>IF(C32&lt;0.1,"✔ KONSISTEN (CR &lt; 0.1)","✘ TIDAK KONSISTEN")</f>
        <v>✔ KONSISTEN (CR &lt; 0.1)</v>
      </c>
      <c r="D33" s="131"/>
      <c r="E33" s="131"/>
      <c r="F33" s="131"/>
      <c r="G33" s="131"/>
      <c r="H33" s="131"/>
      <c r="I33" s="131"/>
      <c r="J33" s="131"/>
      <c r="K33" s="131"/>
    </row>
  </sheetData>
  <mergeCells count="11">
    <mergeCell ref="B1:K1"/>
    <mergeCell ref="B2:K2"/>
    <mergeCell ref="B4:K4"/>
    <mergeCell ref="B15:K15"/>
    <mergeCell ref="B25:K25"/>
    <mergeCell ref="C33:K33"/>
    <mergeCell ref="C28:K28"/>
    <mergeCell ref="C29:K29"/>
    <mergeCell ref="C30:K30"/>
    <mergeCell ref="C31:K31"/>
    <mergeCell ref="C32:K3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showGridLines="0" zoomScaleNormal="100" workbookViewId="0">
      <selection activeCell="A9" sqref="A9:XFD18"/>
    </sheetView>
  </sheetViews>
  <sheetFormatPr defaultColWidth="8.7109375" defaultRowHeight="15" x14ac:dyDescent="0.25"/>
  <cols>
    <col min="1" max="1" width="5" style="1" customWidth="1"/>
    <col min="2" max="2" width="20" style="1" customWidth="1"/>
    <col min="3" max="9" width="11" style="1" customWidth="1"/>
    <col min="10" max="10" width="16" style="1" customWidth="1"/>
    <col min="11" max="11" width="10" style="1" customWidth="1"/>
    <col min="12" max="12" width="12" style="1" customWidth="1"/>
  </cols>
  <sheetData>
    <row r="1" spans="2:13" ht="15" customHeight="1" x14ac:dyDescent="0.25">
      <c r="B1" s="134" t="s">
        <v>151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2" spans="2:13" ht="15" customHeight="1" x14ac:dyDescent="0.25">
      <c r="B2" s="115" t="s">
        <v>152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4" spans="2:13" ht="15" customHeight="1" x14ac:dyDescent="0.25">
      <c r="B4" s="135" t="s">
        <v>153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</row>
    <row r="5" spans="2:13" ht="39.75" customHeight="1" x14ac:dyDescent="0.25">
      <c r="B5" s="61" t="s">
        <v>154</v>
      </c>
      <c r="C5" s="61" t="s">
        <v>39</v>
      </c>
      <c r="D5" s="61" t="s">
        <v>40</v>
      </c>
      <c r="E5" s="61" t="s">
        <v>41</v>
      </c>
      <c r="F5" s="61" t="s">
        <v>42</v>
      </c>
      <c r="G5" s="61" t="s">
        <v>43</v>
      </c>
      <c r="H5" s="61" t="s">
        <v>44</v>
      </c>
      <c r="I5" s="61" t="s">
        <v>45</v>
      </c>
      <c r="J5" s="61" t="s">
        <v>155</v>
      </c>
      <c r="K5" s="61" t="s">
        <v>156</v>
      </c>
      <c r="L5" s="61" t="s">
        <v>67</v>
      </c>
    </row>
    <row r="6" spans="2:13" ht="21.75" customHeight="1" x14ac:dyDescent="0.25">
      <c r="B6" s="72" t="s">
        <v>140</v>
      </c>
      <c r="C6" s="69">
        <f>'TAHAP 2 – AHP'!J17</f>
        <v>0.41811631697288909</v>
      </c>
      <c r="D6" s="69">
        <f>'TAHAP 2 – AHP'!J18</f>
        <v>0.22921581654126813</v>
      </c>
      <c r="E6" s="69">
        <f>'TAHAP 2 – AHP'!J19</f>
        <v>0.11264589858498353</v>
      </c>
      <c r="F6" s="69">
        <f>'TAHAP 2 – AHP'!J20</f>
        <v>5.0867821174106299E-2</v>
      </c>
      <c r="G6" s="69">
        <f>'TAHAP 2 – AHP'!J21</f>
        <v>0.11264589858498356</v>
      </c>
      <c r="H6" s="69">
        <f>'TAHAP 2 – AHP'!J22</f>
        <v>5.0867821174106313E-2</v>
      </c>
      <c r="I6" s="69">
        <f>'TAHAP 2 – AHP'!J23</f>
        <v>2.5640426967663145E-2</v>
      </c>
    </row>
    <row r="7" spans="2:13" ht="15" customHeight="1" x14ac:dyDescent="0.25">
      <c r="B7" s="135" t="s">
        <v>157</v>
      </c>
      <c r="C7" s="135"/>
      <c r="D7" s="135"/>
      <c r="E7" s="135"/>
      <c r="F7" s="135"/>
      <c r="G7" s="135"/>
      <c r="H7" s="135"/>
      <c r="I7" s="135"/>
      <c r="J7" s="135"/>
      <c r="K7" s="135"/>
      <c r="L7" s="135"/>
    </row>
    <row r="8" spans="2:13" ht="39.75" customHeight="1" x14ac:dyDescent="0.25">
      <c r="B8" s="61" t="s">
        <v>16</v>
      </c>
      <c r="C8" s="61" t="s">
        <v>17</v>
      </c>
      <c r="D8" s="61" t="s">
        <v>39</v>
      </c>
      <c r="E8" s="61" t="s">
        <v>40</v>
      </c>
      <c r="F8" s="61" t="s">
        <v>41</v>
      </c>
      <c r="G8" s="61" t="s">
        <v>42</v>
      </c>
      <c r="H8" s="61" t="s">
        <v>43</v>
      </c>
      <c r="I8" s="61" t="s">
        <v>44</v>
      </c>
      <c r="J8" s="61" t="s">
        <v>45</v>
      </c>
      <c r="K8" s="61" t="s">
        <v>155</v>
      </c>
      <c r="L8" s="61" t="s">
        <v>156</v>
      </c>
      <c r="M8" s="61" t="s">
        <v>67</v>
      </c>
    </row>
    <row r="9" spans="2:13" s="1" customFormat="1" x14ac:dyDescent="0.25">
      <c r="B9" s="144">
        <v>1</v>
      </c>
      <c r="C9" s="145" t="str">
        <f>'TAHAP 1 – K-MEANS'!C6</f>
        <v>Andi Setiawan</v>
      </c>
      <c r="D9" s="146">
        <f>'TAHAP 1 – K-MEANS'!D6</f>
        <v>8</v>
      </c>
      <c r="E9" s="146">
        <f>'TAHAP 1 – K-MEANS'!E6</f>
        <v>7</v>
      </c>
      <c r="F9" s="146">
        <f>'TAHAP 1 – K-MEANS'!F6</f>
        <v>9</v>
      </c>
      <c r="G9" s="146">
        <f>'TAHAP 1 – K-MEANS'!G6</f>
        <v>8</v>
      </c>
      <c r="H9" s="146">
        <f>'TAHAP 1 – K-MEANS'!H6</f>
        <v>9</v>
      </c>
      <c r="I9" s="146">
        <f>'TAHAP 1 – K-MEANS'!I6</f>
        <v>7</v>
      </c>
      <c r="J9" s="146">
        <f>'TAHAP 1 – K-MEANS'!J6</f>
        <v>8</v>
      </c>
      <c r="K9" s="147">
        <f>(D9^C6)*(E9^D6)*(F9^E6)*(G9^F6)*(H9^G6)*(I9^H6)*(J9^I6)</f>
        <v>7.9135551847656185</v>
      </c>
      <c r="L9" s="148">
        <f>RANK(K9,K9:K18,0)</f>
        <v>4</v>
      </c>
      <c r="M9" s="149" t="str">
        <f>'TAHAP 1 – K-MEANS'!M6</f>
        <v>K1</v>
      </c>
    </row>
    <row r="10" spans="2:13" s="1" customFormat="1" x14ac:dyDescent="0.25">
      <c r="B10" s="150">
        <v>2</v>
      </c>
      <c r="C10" s="151" t="str">
        <f>'TAHAP 1 – K-MEANS'!C7</f>
        <v>Budi Santoso</v>
      </c>
      <c r="D10" s="152">
        <f>'TAHAP 1 – K-MEANS'!D7</f>
        <v>5</v>
      </c>
      <c r="E10" s="152">
        <f>'TAHAP 1 – K-MEANS'!E7</f>
        <v>6</v>
      </c>
      <c r="F10" s="152">
        <f>'TAHAP 1 – K-MEANS'!F7</f>
        <v>5</v>
      </c>
      <c r="G10" s="152">
        <f>'TAHAP 1 – K-MEANS'!G7</f>
        <v>6</v>
      </c>
      <c r="H10" s="152">
        <f>'TAHAP 1 – K-MEANS'!H7</f>
        <v>5</v>
      </c>
      <c r="I10" s="152">
        <f>'TAHAP 1 – K-MEANS'!I7</f>
        <v>6</v>
      </c>
      <c r="J10" s="152">
        <f>'TAHAP 1 – K-MEANS'!J7</f>
        <v>5</v>
      </c>
      <c r="K10" s="147">
        <f>(D10^C6)*(E10^D6)*(F10^E6)*(G10^F6)*(H10^G6)*(I10^H6)*(J10^I6)</f>
        <v>5.3109859588063157</v>
      </c>
      <c r="L10" s="153">
        <f>RANK(K10,K9:K18,0)</f>
        <v>8</v>
      </c>
      <c r="M10" s="154" t="str">
        <f>'TAHAP 1 – K-MEANS'!M7</f>
        <v>K3</v>
      </c>
    </row>
    <row r="11" spans="2:13" s="1" customFormat="1" x14ac:dyDescent="0.25">
      <c r="B11" s="144">
        <v>3</v>
      </c>
      <c r="C11" s="145" t="str">
        <f>'TAHAP 1 – K-MEANS'!C8</f>
        <v>Citra Dewi</v>
      </c>
      <c r="D11" s="146">
        <f>'TAHAP 1 – K-MEANS'!D8</f>
        <v>9</v>
      </c>
      <c r="E11" s="146">
        <f>'TAHAP 1 – K-MEANS'!E8</f>
        <v>9</v>
      </c>
      <c r="F11" s="146">
        <f>'TAHAP 1 – K-MEANS'!F8</f>
        <v>8</v>
      </c>
      <c r="G11" s="146">
        <f>'TAHAP 1 – K-MEANS'!G8</f>
        <v>9</v>
      </c>
      <c r="H11" s="146">
        <f>'TAHAP 1 – K-MEANS'!H8</f>
        <v>9</v>
      </c>
      <c r="I11" s="146">
        <f>'TAHAP 1 – K-MEANS'!I8</f>
        <v>8</v>
      </c>
      <c r="J11" s="146">
        <f>'TAHAP 1 – K-MEANS'!J8</f>
        <v>9</v>
      </c>
      <c r="K11" s="147">
        <f>(D11^C6)*(E11^D6)*(F11^E6)*(G11^F6)*(H11^G6)*(I11^H6)*(J11^I6)</f>
        <v>8.8283261711137531</v>
      </c>
      <c r="L11" s="148">
        <f>RANK(K11,K9:K18,0)</f>
        <v>1</v>
      </c>
      <c r="M11" s="149" t="str">
        <f>'TAHAP 1 – K-MEANS'!M8</f>
        <v>K1</v>
      </c>
    </row>
    <row r="12" spans="2:13" s="1" customFormat="1" x14ac:dyDescent="0.25">
      <c r="B12" s="150">
        <v>4</v>
      </c>
      <c r="C12" s="151" t="str">
        <f>'TAHAP 1 – K-MEANS'!C9</f>
        <v>Dian Pratiwi</v>
      </c>
      <c r="D12" s="152">
        <f>'TAHAP 1 – K-MEANS'!D9</f>
        <v>6</v>
      </c>
      <c r="E12" s="152">
        <f>'TAHAP 1 – K-MEANS'!E9</f>
        <v>5</v>
      </c>
      <c r="F12" s="152">
        <f>'TAHAP 1 – K-MEANS'!F9</f>
        <v>6</v>
      </c>
      <c r="G12" s="152">
        <f>'TAHAP 1 – K-MEANS'!G9</f>
        <v>5</v>
      </c>
      <c r="H12" s="152">
        <f>'TAHAP 1 – K-MEANS'!H9</f>
        <v>6</v>
      </c>
      <c r="I12" s="152">
        <f>'TAHAP 1 – K-MEANS'!I9</f>
        <v>5</v>
      </c>
      <c r="J12" s="152">
        <f>'TAHAP 1 – K-MEANS'!J9</f>
        <v>6</v>
      </c>
      <c r="K12" s="147">
        <f>(D12^C6)*(E12^D6)*(F12^E6)*(G12^F6)*(H12^G6)*(I12^H6)*(J12^I6)</f>
        <v>5.6486686714462202</v>
      </c>
      <c r="L12" s="153">
        <f>RANK(K12,K9:K18,0)</f>
        <v>7</v>
      </c>
      <c r="M12" s="154" t="str">
        <f>'TAHAP 1 – K-MEANS'!M9</f>
        <v>K3</v>
      </c>
    </row>
    <row r="13" spans="2:13" s="1" customFormat="1" x14ac:dyDescent="0.25">
      <c r="B13" s="144">
        <v>5</v>
      </c>
      <c r="C13" s="145" t="str">
        <f>'TAHAP 1 – K-MEANS'!C10</f>
        <v>Eko Wahyudi</v>
      </c>
      <c r="D13" s="146">
        <f>'TAHAP 1 – K-MEANS'!D10</f>
        <v>7</v>
      </c>
      <c r="E13" s="146">
        <f>'TAHAP 1 – K-MEANS'!E10</f>
        <v>8</v>
      </c>
      <c r="F13" s="146">
        <f>'TAHAP 1 – K-MEANS'!F10</f>
        <v>7</v>
      </c>
      <c r="G13" s="146">
        <f>'TAHAP 1 – K-MEANS'!G10</f>
        <v>8</v>
      </c>
      <c r="H13" s="146">
        <f>'TAHAP 1 – K-MEANS'!H10</f>
        <v>7</v>
      </c>
      <c r="I13" s="146">
        <f>'TAHAP 1 – K-MEANS'!I10</f>
        <v>8</v>
      </c>
      <c r="J13" s="146">
        <f>'TAHAP 1 – K-MEANS'!J10</f>
        <v>7</v>
      </c>
      <c r="K13" s="147">
        <f>(D13^C6)*(E13^D6)*(F13^E6)*(G13^F6)*(H13^G6)*(I13^H6)*(J13^I6)</f>
        <v>7.3162840691386792</v>
      </c>
      <c r="L13" s="148">
        <f>RANK(K13,K9:K18,0)</f>
        <v>5</v>
      </c>
      <c r="M13" s="149" t="str">
        <f>'TAHAP 1 – K-MEANS'!M10</f>
        <v>K2</v>
      </c>
    </row>
    <row r="14" spans="2:13" s="1" customFormat="1" x14ac:dyDescent="0.25">
      <c r="B14" s="150">
        <v>6</v>
      </c>
      <c r="C14" s="151" t="str">
        <f>'TAHAP 1 – K-MEANS'!C11</f>
        <v>Fitri Handayani</v>
      </c>
      <c r="D14" s="152">
        <f>'TAHAP 1 – K-MEANS'!D11</f>
        <v>4</v>
      </c>
      <c r="E14" s="152">
        <f>'TAHAP 1 – K-MEANS'!E11</f>
        <v>5</v>
      </c>
      <c r="F14" s="152">
        <f>'TAHAP 1 – K-MEANS'!F11</f>
        <v>4</v>
      </c>
      <c r="G14" s="152">
        <f>'TAHAP 1 – K-MEANS'!G11</f>
        <v>5</v>
      </c>
      <c r="H14" s="152">
        <f>'TAHAP 1 – K-MEANS'!H11</f>
        <v>4</v>
      </c>
      <c r="I14" s="152">
        <f>'TAHAP 1 – K-MEANS'!I11</f>
        <v>5</v>
      </c>
      <c r="J14" s="152">
        <f>'TAHAP 1 – K-MEANS'!J11</f>
        <v>4</v>
      </c>
      <c r="K14" s="147">
        <f>(D14^C6)*(E14^D6)*(F14^E6)*(G14^F6)*(H14^G6)*(I14^H6)*(J14^I6)</f>
        <v>4.3065798248266693</v>
      </c>
      <c r="L14" s="153">
        <f>RANK(K14,K9:K18,0)</f>
        <v>10</v>
      </c>
      <c r="M14" s="154" t="str">
        <f>'TAHAP 1 – K-MEANS'!M11</f>
        <v>K3</v>
      </c>
    </row>
    <row r="15" spans="2:13" s="1" customFormat="1" x14ac:dyDescent="0.25">
      <c r="B15" s="144">
        <v>7</v>
      </c>
      <c r="C15" s="145" t="str">
        <f>'TAHAP 1 – K-MEANS'!C12</f>
        <v>Galih Nugroho</v>
      </c>
      <c r="D15" s="146">
        <f>'TAHAP 1 – K-MEANS'!D12</f>
        <v>9</v>
      </c>
      <c r="E15" s="146">
        <f>'TAHAP 1 – K-MEANS'!E12</f>
        <v>8</v>
      </c>
      <c r="F15" s="146">
        <f>'TAHAP 1 – K-MEANS'!F12</f>
        <v>9</v>
      </c>
      <c r="G15" s="146">
        <f>'TAHAP 1 – K-MEANS'!G12</f>
        <v>9</v>
      </c>
      <c r="H15" s="146">
        <f>'TAHAP 1 – K-MEANS'!H12</f>
        <v>8</v>
      </c>
      <c r="I15" s="146">
        <f>'TAHAP 1 – K-MEANS'!I12</f>
        <v>9</v>
      </c>
      <c r="J15" s="146">
        <f>'TAHAP 1 – K-MEANS'!J12</f>
        <v>8</v>
      </c>
      <c r="K15" s="147">
        <f>(D15^C6)*(E15^D6)*(F15^E6)*(G15^F6)*(H15^G6)*(I15^H6)*(J15^I6)</f>
        <v>8.6187413542836833</v>
      </c>
      <c r="L15" s="148">
        <f>RANK(K15,K9:K18,0)</f>
        <v>2</v>
      </c>
      <c r="M15" s="149" t="str">
        <f>'TAHAP 1 – K-MEANS'!M12</f>
        <v>K1</v>
      </c>
    </row>
    <row r="16" spans="2:13" s="1" customFormat="1" x14ac:dyDescent="0.25">
      <c r="B16" s="150">
        <v>8</v>
      </c>
      <c r="C16" s="151" t="str">
        <f>'TAHAP 1 – K-MEANS'!C13</f>
        <v>Hana Putri</v>
      </c>
      <c r="D16" s="152">
        <f>'TAHAP 1 – K-MEANS'!D13</f>
        <v>6</v>
      </c>
      <c r="E16" s="152">
        <f>'TAHAP 1 – K-MEANS'!E13</f>
        <v>6</v>
      </c>
      <c r="F16" s="152">
        <f>'TAHAP 1 – K-MEANS'!F13</f>
        <v>7</v>
      </c>
      <c r="G16" s="152">
        <f>'TAHAP 1 – K-MEANS'!G13</f>
        <v>6</v>
      </c>
      <c r="H16" s="152">
        <f>'TAHAP 1 – K-MEANS'!H13</f>
        <v>7</v>
      </c>
      <c r="I16" s="152">
        <f>'TAHAP 1 – K-MEANS'!I13</f>
        <v>6</v>
      </c>
      <c r="J16" s="152">
        <f>'TAHAP 1 – K-MEANS'!J13</f>
        <v>7</v>
      </c>
      <c r="K16" s="147">
        <f>(D16^C6)*(E16^D6)*(F16^E6)*(G16^F6)*(H16^G6)*(I16^H6)*(J16^I6)</f>
        <v>6.2366354244847422</v>
      </c>
      <c r="L16" s="153">
        <f>RANK(K16,K9:K18,0)</f>
        <v>6</v>
      </c>
      <c r="M16" s="154" t="str">
        <f>'TAHAP 1 – K-MEANS'!M13</f>
        <v>K2</v>
      </c>
    </row>
    <row r="17" spans="2:13" s="1" customFormat="1" x14ac:dyDescent="0.25">
      <c r="B17" s="144">
        <v>9</v>
      </c>
      <c r="C17" s="145" t="str">
        <f>'TAHAP 1 – K-MEANS'!C14</f>
        <v>Indra Kusuma</v>
      </c>
      <c r="D17" s="146">
        <f>'TAHAP 1 – K-MEANS'!D14</f>
        <v>8</v>
      </c>
      <c r="E17" s="146">
        <f>'TAHAP 1 – K-MEANS'!E14</f>
        <v>9</v>
      </c>
      <c r="F17" s="146">
        <f>'TAHAP 1 – K-MEANS'!F14</f>
        <v>8</v>
      </c>
      <c r="G17" s="146">
        <f>'TAHAP 1 – K-MEANS'!G14</f>
        <v>8</v>
      </c>
      <c r="H17" s="146">
        <f>'TAHAP 1 – K-MEANS'!H14</f>
        <v>9</v>
      </c>
      <c r="I17" s="146">
        <f>'TAHAP 1 – K-MEANS'!I14</f>
        <v>9</v>
      </c>
      <c r="J17" s="146">
        <f>'TAHAP 1 – K-MEANS'!J14</f>
        <v>8</v>
      </c>
      <c r="K17" s="147">
        <f>(D17^C6)*(E17^D6)*(F17^E6)*(G17^F6)*(H17^G6)*(I17^H6)*(J17^I6)</f>
        <v>8.3787473185254893</v>
      </c>
      <c r="L17" s="148">
        <f>RANK(K17,K9:K18,0)</f>
        <v>3</v>
      </c>
      <c r="M17" s="149" t="str">
        <f>'TAHAP 1 – K-MEANS'!M14</f>
        <v>K1</v>
      </c>
    </row>
    <row r="18" spans="2:13" s="1" customFormat="1" x14ac:dyDescent="0.25">
      <c r="B18" s="150">
        <v>10</v>
      </c>
      <c r="C18" s="151" t="str">
        <f>'TAHAP 1 – K-MEANS'!C15</f>
        <v>Joko Purnomo</v>
      </c>
      <c r="D18" s="152">
        <f>'TAHAP 1 – K-MEANS'!D15</f>
        <v>5</v>
      </c>
      <c r="E18" s="152">
        <f>'TAHAP 1 – K-MEANS'!E15</f>
        <v>4</v>
      </c>
      <c r="F18" s="152">
        <f>'TAHAP 1 – K-MEANS'!F15</f>
        <v>5</v>
      </c>
      <c r="G18" s="152">
        <f>'TAHAP 1 – K-MEANS'!G15</f>
        <v>4</v>
      </c>
      <c r="H18" s="152">
        <f>'TAHAP 1 – K-MEANS'!H15</f>
        <v>5</v>
      </c>
      <c r="I18" s="152">
        <f>'TAHAP 1 – K-MEANS'!I15</f>
        <v>4</v>
      </c>
      <c r="J18" s="152">
        <f>'TAHAP 1 – K-MEANS'!J15</f>
        <v>5</v>
      </c>
      <c r="K18" s="147">
        <f>(D18^C6)*(E18^D6)*(F18^E6)*(G18^F6)*(H18^G6)*(I18^H6)*(J18^I6)</f>
        <v>4.6440564934390753</v>
      </c>
      <c r="L18" s="153">
        <f>RANK(K18,K9:K18,0)</f>
        <v>9</v>
      </c>
      <c r="M18" s="154" t="str">
        <f>'TAHAP 1 – K-MEANS'!M15</f>
        <v>K3</v>
      </c>
    </row>
    <row r="20" spans="2:13" ht="21.75" customHeight="1" x14ac:dyDescent="0.25">
      <c r="B20" s="136" t="s">
        <v>158</v>
      </c>
      <c r="C20" s="136"/>
      <c r="D20" s="136"/>
      <c r="E20" s="136"/>
      <c r="F20" s="136"/>
      <c r="G20" s="136"/>
      <c r="H20" s="136"/>
      <c r="I20" s="136"/>
      <c r="J20" s="136"/>
      <c r="K20" s="136"/>
      <c r="L20" s="136"/>
    </row>
  </sheetData>
  <mergeCells count="5">
    <mergeCell ref="B1:L1"/>
    <mergeCell ref="B2:L2"/>
    <mergeCell ref="B4:L4"/>
    <mergeCell ref="B7:L7"/>
    <mergeCell ref="B20:L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showGridLines="0" topLeftCell="D13" zoomScaleNormal="100" workbookViewId="0">
      <selection activeCell="N6" sqref="N6"/>
    </sheetView>
  </sheetViews>
  <sheetFormatPr defaultColWidth="8.7109375" defaultRowHeight="15" x14ac:dyDescent="0.25"/>
  <cols>
    <col min="1" max="1" width="5" style="1" customWidth="1"/>
    <col min="2" max="2" width="20" style="1" customWidth="1"/>
    <col min="3" max="9" width="10" style="1" customWidth="1"/>
    <col min="10" max="11" width="12" style="1" customWidth="1"/>
    <col min="12" max="12" width="14" style="1" customWidth="1"/>
    <col min="13" max="13" width="10" style="1" customWidth="1"/>
    <col min="14" max="14" width="12" style="1" customWidth="1"/>
  </cols>
  <sheetData>
    <row r="1" spans="2:15" ht="15" customHeight="1" x14ac:dyDescent="0.25">
      <c r="B1" s="134" t="s">
        <v>159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</row>
    <row r="2" spans="2:15" ht="15" customHeight="1" x14ac:dyDescent="0.25">
      <c r="B2" s="115" t="s">
        <v>160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</row>
    <row r="4" spans="2:15" ht="15" customHeight="1" x14ac:dyDescent="0.25">
      <c r="B4" s="135" t="s">
        <v>161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</row>
    <row r="5" spans="2:15" ht="39.75" customHeight="1" x14ac:dyDescent="0.25">
      <c r="B5" s="61" t="s">
        <v>16</v>
      </c>
      <c r="C5" s="61" t="s">
        <v>17</v>
      </c>
      <c r="D5" s="61" t="s">
        <v>162</v>
      </c>
      <c r="E5" s="61" t="s">
        <v>163</v>
      </c>
      <c r="F5" s="61" t="s">
        <v>164</v>
      </c>
      <c r="G5" s="61" t="s">
        <v>165</v>
      </c>
      <c r="H5" s="61" t="s">
        <v>166</v>
      </c>
      <c r="I5" s="61" t="s">
        <v>167</v>
      </c>
      <c r="J5" s="61" t="s">
        <v>168</v>
      </c>
      <c r="K5" s="61" t="s">
        <v>169</v>
      </c>
      <c r="L5" s="61" t="s">
        <v>170</v>
      </c>
      <c r="M5" s="61" t="s">
        <v>171</v>
      </c>
      <c r="N5" s="61" t="s">
        <v>172</v>
      </c>
      <c r="O5" s="61" t="s">
        <v>67</v>
      </c>
    </row>
    <row r="6" spans="2:15" ht="25.5" x14ac:dyDescent="0.25">
      <c r="B6" s="73">
        <v>1</v>
      </c>
      <c r="C6" s="4" t="str">
        <f>'TAHAP 3 – WP'!C9</f>
        <v>Andi Setiawan</v>
      </c>
      <c r="D6" s="64">
        <f>'TAHAP 3 – WP'!D9/D16</f>
        <v>0.36629483719650408</v>
      </c>
      <c r="E6" s="64">
        <f>'TAHAP 3 – WP'!E9/E16</f>
        <v>0.32050798254694107</v>
      </c>
      <c r="F6" s="64">
        <f>'TAHAP 3 – WP'!F9/F16</f>
        <v>0.40657855630736306</v>
      </c>
      <c r="G6" s="64">
        <f>'TAHAP 3 – WP'!G9/G16</f>
        <v>0.36066785386697292</v>
      </c>
      <c r="H6" s="64">
        <f>'TAHAP 3 – WP'!H9/H16</f>
        <v>0.39970403251589481</v>
      </c>
      <c r="I6" s="64">
        <f>'TAHAP 3 – WP'!I9/I16</f>
        <v>0.32050798254694107</v>
      </c>
      <c r="J6" s="64">
        <f>'TAHAP 3 – WP'!J9/J16</f>
        <v>0.36784039189736228</v>
      </c>
      <c r="K6" s="80">
        <f>SQRT((D20-D30)^2+(E20-E30)^2+(F20-F30)^2+(G20-G30)^2+(H20-H30)^2+(I20-I30)^2+(J20-J30)^2)</f>
        <v>2.8903896126459227E-2</v>
      </c>
      <c r="L6" s="81">
        <f>SQRT((D20-D31)^2+(E20-E31)^2+(F20-F31)^2+(G20-G31)^2+(H20-H31)^2+(I20-I31)^2+(J20-J31)^2)</f>
        <v>9.1014558046647612E-2</v>
      </c>
      <c r="M6" s="69">
        <f t="shared" ref="M6:M15" si="0">L6/(K6+L6)</f>
        <v>0.75897040763437995</v>
      </c>
      <c r="N6" s="75">
        <f>RANK(M6,M6:M15,0)</f>
        <v>4</v>
      </c>
      <c r="O6" s="82" t="str">
        <f>'TAHAP 3 – WP'!M9</f>
        <v>K1</v>
      </c>
    </row>
    <row r="7" spans="2:15" ht="25.5" x14ac:dyDescent="0.25">
      <c r="B7" s="63">
        <v>2</v>
      </c>
      <c r="C7" s="77" t="str">
        <f>'TAHAP 3 – WP'!C10</f>
        <v>Budi Santoso</v>
      </c>
      <c r="D7" s="68">
        <f>'TAHAP 3 – WP'!D10/D16</f>
        <v>0.22893427324781504</v>
      </c>
      <c r="E7" s="68">
        <f>'TAHAP 3 – WP'!E10/E16</f>
        <v>0.27472112789737807</v>
      </c>
      <c r="F7" s="68">
        <f>'TAHAP 3 – WP'!F10/F16</f>
        <v>0.22587697572631282</v>
      </c>
      <c r="G7" s="68">
        <f>'TAHAP 3 – WP'!G10/G16</f>
        <v>0.27050089040022968</v>
      </c>
      <c r="H7" s="68">
        <f>'TAHAP 3 – WP'!H10/H16</f>
        <v>0.22205779584216379</v>
      </c>
      <c r="I7" s="68">
        <f>'TAHAP 3 – WP'!I10/I16</f>
        <v>0.27472112789737807</v>
      </c>
      <c r="J7" s="68">
        <f>'TAHAP 3 – WP'!J10/J16</f>
        <v>0.22990024493585143</v>
      </c>
      <c r="K7" s="80">
        <f>SQRT((D21-D30)^2+(E21-E30)^2+(F21-F30)^2+(G21-G30)^2+(H21-H30)^2+(I21-I30)^2+(J21-J30)^2)</f>
        <v>8.8252591509920209E-2</v>
      </c>
      <c r="L7" s="81">
        <f>SQRT((D21-D31)^2+(E21-E31)^2+(F21-F31)^2+(G21-G31)^2+(H21-H31)^2+(I21-I31)^2+(J21-J31)^2)</f>
        <v>3.0035592088194722E-2</v>
      </c>
      <c r="M7" s="69">
        <f t="shared" si="0"/>
        <v>0.25391878693683295</v>
      </c>
      <c r="N7" s="75">
        <f>RANK(M7,M6:M15,0)</f>
        <v>8</v>
      </c>
      <c r="O7" s="82" t="str">
        <f>'TAHAP 3 – WP'!M10</f>
        <v>K3</v>
      </c>
    </row>
    <row r="8" spans="2:15" x14ac:dyDescent="0.25">
      <c r="B8" s="73">
        <v>3</v>
      </c>
      <c r="C8" s="4" t="str">
        <f>'TAHAP 3 – WP'!C11</f>
        <v>Citra Dewi</v>
      </c>
      <c r="D8" s="64">
        <f>'TAHAP 3 – WP'!D11/D16</f>
        <v>0.41208169184606708</v>
      </c>
      <c r="E8" s="64">
        <f>'TAHAP 3 – WP'!E11/E16</f>
        <v>0.41208169184606708</v>
      </c>
      <c r="F8" s="64">
        <f>'TAHAP 3 – WP'!F11/F16</f>
        <v>0.36140316116210053</v>
      </c>
      <c r="G8" s="64">
        <f>'TAHAP 3 – WP'!G11/G16</f>
        <v>0.40575133560034449</v>
      </c>
      <c r="H8" s="64">
        <f>'TAHAP 3 – WP'!H11/H16</f>
        <v>0.39970403251589481</v>
      </c>
      <c r="I8" s="64">
        <f>'TAHAP 3 – WP'!I11/I16</f>
        <v>0.36629483719650408</v>
      </c>
      <c r="J8" s="64">
        <f>'TAHAP 3 – WP'!J11/J16</f>
        <v>0.41382044088453257</v>
      </c>
      <c r="K8" s="80">
        <f>SQRT((D22-D30)^2+(E22-E30)^2+(F22-F30)^2+(G22-G30)^2+(H22-H30)^2+(I22-I30)^2+(J22-J30)^2)</f>
        <v>5.5964918908110476E-3</v>
      </c>
      <c r="L8" s="81">
        <f>SQRT((D22-D31)^2+(E22-E31)^2+(F22-F31)^2+(G22-G31)^2+(H22-H31)^2+(I22-I31)^2+(J22-J31)^2)</f>
        <v>0.11493153492383669</v>
      </c>
      <c r="M8" s="69">
        <f t="shared" si="0"/>
        <v>0.95356688366418274</v>
      </c>
      <c r="N8" s="75">
        <f>RANK(M8,M6:M15,0)</f>
        <v>1</v>
      </c>
      <c r="O8" s="82" t="str">
        <f>'TAHAP 3 – WP'!M11</f>
        <v>K1</v>
      </c>
    </row>
    <row r="9" spans="2:15" ht="25.5" x14ac:dyDescent="0.25">
      <c r="B9" s="63">
        <v>4</v>
      </c>
      <c r="C9" s="77" t="str">
        <f>'TAHAP 3 – WP'!C12</f>
        <v>Dian Pratiwi</v>
      </c>
      <c r="D9" s="68">
        <f>'TAHAP 3 – WP'!D12/D16</f>
        <v>0.27472112789737807</v>
      </c>
      <c r="E9" s="68">
        <f>'TAHAP 3 – WP'!E12/E16</f>
        <v>0.22893427324781504</v>
      </c>
      <c r="F9" s="68">
        <f>'TAHAP 3 – WP'!F12/F16</f>
        <v>0.27105237087157541</v>
      </c>
      <c r="G9" s="68">
        <f>'TAHAP 3 – WP'!G12/G16</f>
        <v>0.22541740866685805</v>
      </c>
      <c r="H9" s="68">
        <f>'TAHAP 3 – WP'!H12/H16</f>
        <v>0.26646935501059654</v>
      </c>
      <c r="I9" s="68">
        <f>'TAHAP 3 – WP'!I12/I16</f>
        <v>0.22893427324781504</v>
      </c>
      <c r="J9" s="68">
        <f>'TAHAP 3 – WP'!J12/J16</f>
        <v>0.27588029392302171</v>
      </c>
      <c r="K9" s="80">
        <f>SQRT((D23-D30)^2+(E23-E30)^2+(F23-F30)^2+(G23-G30)^2+(H23-H30)^2+(I23-I30)^2+(J23-J30)^2)</f>
        <v>7.5515722237739863E-2</v>
      </c>
      <c r="L9" s="81">
        <f>SQRT((D23-D31)^2+(E23-E31)^2+(F23-F31)^2+(G23-G31)^2+(H23-H31)^2+(I23-I31)^2+(J23-J31)^2)</f>
        <v>4.2380326220693938E-2</v>
      </c>
      <c r="M9" s="69">
        <f t="shared" si="0"/>
        <v>0.35947198209646375</v>
      </c>
      <c r="N9" s="75">
        <f>RANK(M9,M6:M15,0)</f>
        <v>7</v>
      </c>
      <c r="O9" s="82" t="str">
        <f>'TAHAP 3 – WP'!M12</f>
        <v>K3</v>
      </c>
    </row>
    <row r="10" spans="2:15" ht="25.5" x14ac:dyDescent="0.25">
      <c r="B10" s="73">
        <v>5</v>
      </c>
      <c r="C10" s="4" t="str">
        <f>'TAHAP 3 – WP'!C13</f>
        <v>Eko Wahyudi</v>
      </c>
      <c r="D10" s="64">
        <f>'TAHAP 3 – WP'!D13/D16</f>
        <v>0.32050798254694107</v>
      </c>
      <c r="E10" s="64">
        <f>'TAHAP 3 – WP'!E13/E16</f>
        <v>0.36629483719650408</v>
      </c>
      <c r="F10" s="64">
        <f>'TAHAP 3 – WP'!F13/F16</f>
        <v>0.31622776601683794</v>
      </c>
      <c r="G10" s="64">
        <f>'TAHAP 3 – WP'!G13/G16</f>
        <v>0.36066785386697292</v>
      </c>
      <c r="H10" s="64">
        <f>'TAHAP 3 – WP'!H13/H16</f>
        <v>0.3108809141790293</v>
      </c>
      <c r="I10" s="64">
        <f>'TAHAP 3 – WP'!I13/I16</f>
        <v>0.36629483719650408</v>
      </c>
      <c r="J10" s="64">
        <f>'TAHAP 3 – WP'!J13/J16</f>
        <v>0.321860342910192</v>
      </c>
      <c r="K10" s="80">
        <f>SQRT((D24-D30)^2+(E24-E30)^2+(F24-F30)^2+(G24-G30)^2+(H24-H30)^2+(I24-I30)^2+(J24-J30)^2)</f>
        <v>4.2380326220693938E-2</v>
      </c>
      <c r="L10" s="81">
        <f>SQRT((D24-D31)^2+(E24-E31)^2+(F24-F31)^2+(G24-G31)^2+(H24-H31)^2+(I24-I31)^2+(J24-J31)^2)</f>
        <v>7.5515722237739849E-2</v>
      </c>
      <c r="M10" s="69">
        <f t="shared" si="0"/>
        <v>0.6405280179035362</v>
      </c>
      <c r="N10" s="75">
        <f>RANK(M10,M6:M15,0)</f>
        <v>5</v>
      </c>
      <c r="O10" s="82" t="str">
        <f>'TAHAP 3 – WP'!M13</f>
        <v>K2</v>
      </c>
    </row>
    <row r="11" spans="2:15" ht="25.5" x14ac:dyDescent="0.25">
      <c r="B11" s="63">
        <v>6</v>
      </c>
      <c r="C11" s="77" t="str">
        <f>'TAHAP 3 – WP'!C14</f>
        <v>Fitri Handayani</v>
      </c>
      <c r="D11" s="68">
        <f>'TAHAP 3 – WP'!D14/D16</f>
        <v>0.18314741859825204</v>
      </c>
      <c r="E11" s="68">
        <f>'TAHAP 3 – WP'!E14/E16</f>
        <v>0.22893427324781504</v>
      </c>
      <c r="F11" s="68">
        <f>'TAHAP 3 – WP'!F14/F16</f>
        <v>0.18070158058105026</v>
      </c>
      <c r="G11" s="68">
        <f>'TAHAP 3 – WP'!G14/G16</f>
        <v>0.22541740866685805</v>
      </c>
      <c r="H11" s="68">
        <f>'TAHAP 3 – WP'!H14/H16</f>
        <v>0.17764623667373103</v>
      </c>
      <c r="I11" s="68">
        <f>'TAHAP 3 – WP'!I14/I16</f>
        <v>0.22893427324781504</v>
      </c>
      <c r="J11" s="68">
        <f>'TAHAP 3 – WP'!J14/J16</f>
        <v>0.18392019594868114</v>
      </c>
      <c r="K11" s="80">
        <f>SQRT((D25-D30)^2+(E25-E30)^2+(F25-F30)^2+(G25-G30)^2+(H25-H30)^2+(I25-I30)^2+(J25-J30)^2)</f>
        <v>0.11137176995377042</v>
      </c>
      <c r="L11" s="81">
        <f>SQRT((D25-D31)^2+(E25-E31)^2+(F25-F31)^2+(G25-G31)^2+(H25-H31)^2+(I25-I31)^2+(J25-J31)^2)</f>
        <v>1.0992285530562671E-2</v>
      </c>
      <c r="M11" s="69">
        <f t="shared" si="0"/>
        <v>8.9832634976454107E-2</v>
      </c>
      <c r="N11" s="75">
        <f>RANK(M11,M6:M15,0)</f>
        <v>10</v>
      </c>
      <c r="O11" s="82" t="str">
        <f>'TAHAP 3 – WP'!M14</f>
        <v>K3</v>
      </c>
    </row>
    <row r="12" spans="2:15" ht="25.5" x14ac:dyDescent="0.25">
      <c r="B12" s="73">
        <v>7</v>
      </c>
      <c r="C12" s="4" t="str">
        <f>'TAHAP 3 – WP'!C15</f>
        <v>Galih Nugroho</v>
      </c>
      <c r="D12" s="64">
        <f>'TAHAP 3 – WP'!D15/D16</f>
        <v>0.41208169184606708</v>
      </c>
      <c r="E12" s="64">
        <f>'TAHAP 3 – WP'!E15/E16</f>
        <v>0.36629483719650408</v>
      </c>
      <c r="F12" s="64">
        <f>'TAHAP 3 – WP'!F15/F16</f>
        <v>0.40657855630736306</v>
      </c>
      <c r="G12" s="64">
        <f>'TAHAP 3 – WP'!G15/G16</f>
        <v>0.40575133560034449</v>
      </c>
      <c r="H12" s="64">
        <f>'TAHAP 3 – WP'!H15/H16</f>
        <v>0.35529247334746206</v>
      </c>
      <c r="I12" s="64">
        <f>'TAHAP 3 – WP'!I15/I16</f>
        <v>0.41208169184606708</v>
      </c>
      <c r="J12" s="64">
        <f>'TAHAP 3 – WP'!J15/J16</f>
        <v>0.36784039189736228</v>
      </c>
      <c r="K12" s="80">
        <f>SQRT((D26-D30)^2+(E26-E30)^2+(F26-F30)^2+(G26-G30)^2+(H26-H30)^2+(I26-I30)^2+(J26-J30)^2)</f>
        <v>1.1686070652631152E-2</v>
      </c>
      <c r="L12" s="81">
        <f>SQRT((D26-D31)^2+(E26-E31)^2+(F26-F31)^2+(G26-G31)^2+(H26-H31)^2+(I26-I31)^2+(J26-J31)^2)</f>
        <v>0.11073421326590863</v>
      </c>
      <c r="M12" s="69">
        <f t="shared" si="0"/>
        <v>0.90454138580165988</v>
      </c>
      <c r="N12" s="75">
        <f>RANK(M12,M6:M15,0)</f>
        <v>2</v>
      </c>
      <c r="O12" s="82" t="str">
        <f>'TAHAP 3 – WP'!M15</f>
        <v>K1</v>
      </c>
    </row>
    <row r="13" spans="2:15" x14ac:dyDescent="0.25">
      <c r="B13" s="63">
        <v>8</v>
      </c>
      <c r="C13" s="77" t="str">
        <f>'TAHAP 3 – WP'!C16</f>
        <v>Hana Putri</v>
      </c>
      <c r="D13" s="68">
        <f>'TAHAP 3 – WP'!D16/D16</f>
        <v>0.27472112789737807</v>
      </c>
      <c r="E13" s="68">
        <f>'TAHAP 3 – WP'!E16/E16</f>
        <v>0.27472112789737807</v>
      </c>
      <c r="F13" s="68">
        <f>'TAHAP 3 – WP'!F16/F16</f>
        <v>0.31622776601683794</v>
      </c>
      <c r="G13" s="68">
        <f>'TAHAP 3 – WP'!G16/G16</f>
        <v>0.27050089040022968</v>
      </c>
      <c r="H13" s="68">
        <f>'TAHAP 3 – WP'!H16/H16</f>
        <v>0.3108809141790293</v>
      </c>
      <c r="I13" s="68">
        <f>'TAHAP 3 – WP'!I16/I16</f>
        <v>0.27472112789737807</v>
      </c>
      <c r="J13" s="68">
        <f>'TAHAP 3 – WP'!J16/J16</f>
        <v>0.321860342910192</v>
      </c>
      <c r="K13" s="80">
        <f>SQRT((D27-D30)^2+(E27-E30)^2+(F27-F30)^2+(G27-G30)^2+(H27-H30)^2+(I27-I30)^2+(J27-J30)^2)</f>
        <v>6.7788219397323699E-2</v>
      </c>
      <c r="L13" s="81">
        <f>SQRT((D27-D31)^2+(E27-E31)^2+(F27-F31)^2+(G27-G31)^2+(H27-H31)^2+(I27-I31)^2+(J27-J31)^2)</f>
        <v>4.9195043468407994E-2</v>
      </c>
      <c r="M13" s="69">
        <f t="shared" si="0"/>
        <v>0.42053061492114413</v>
      </c>
      <c r="N13" s="75">
        <f>RANK(M13,M6:M15,0)</f>
        <v>6</v>
      </c>
      <c r="O13" s="82" t="str">
        <f>'TAHAP 3 – WP'!M16</f>
        <v>K2</v>
      </c>
    </row>
    <row r="14" spans="2:15" ht="25.5" x14ac:dyDescent="0.25">
      <c r="B14" s="73">
        <v>9</v>
      </c>
      <c r="C14" s="4" t="str">
        <f>'TAHAP 3 – WP'!C17</f>
        <v>Indra Kusuma</v>
      </c>
      <c r="D14" s="64">
        <f>'TAHAP 3 – WP'!D17/D16</f>
        <v>0.36629483719650408</v>
      </c>
      <c r="E14" s="64">
        <f>'TAHAP 3 – WP'!E17/E16</f>
        <v>0.41208169184606708</v>
      </c>
      <c r="F14" s="64">
        <f>'TAHAP 3 – WP'!F17/F16</f>
        <v>0.36140316116210053</v>
      </c>
      <c r="G14" s="64">
        <f>'TAHAP 3 – WP'!G17/G16</f>
        <v>0.36066785386697292</v>
      </c>
      <c r="H14" s="64">
        <f>'TAHAP 3 – WP'!H17/H16</f>
        <v>0.39970403251589481</v>
      </c>
      <c r="I14" s="64">
        <f>'TAHAP 3 – WP'!I17/I16</f>
        <v>0.41208169184606708</v>
      </c>
      <c r="J14" s="64">
        <f>'TAHAP 3 – WP'!J17/J16</f>
        <v>0.36784039189736228</v>
      </c>
      <c r="K14" s="80">
        <f>SQRT((D28-D30)^2+(E28-E30)^2+(F28-F30)^2+(G28-G30)^2+(H28-H30)^2+(I28-I30)^2+(J28-J30)^2)</f>
        <v>1.9976156729128756E-2</v>
      </c>
      <c r="L14" s="81">
        <f>SQRT((D28-D31)^2+(E28-E31)^2+(F28-F31)^2+(G28-G31)^2+(H28-H31)^2+(I28-I31)^2+(J28-J31)^2)</f>
        <v>9.9497350086843378E-2</v>
      </c>
      <c r="M14" s="69">
        <f t="shared" si="0"/>
        <v>0.83279843990937252</v>
      </c>
      <c r="N14" s="75">
        <f>RANK(M14,M6:M15,0)</f>
        <v>3</v>
      </c>
      <c r="O14" s="82" t="str">
        <f>'TAHAP 3 – WP'!M17</f>
        <v>K1</v>
      </c>
    </row>
    <row r="15" spans="2:15" ht="25.5" x14ac:dyDescent="0.25">
      <c r="B15" s="63">
        <v>10</v>
      </c>
      <c r="C15" s="77" t="str">
        <f>'TAHAP 3 – WP'!C18</f>
        <v>Joko Purnomo</v>
      </c>
      <c r="D15" s="68">
        <f>'TAHAP 3 – WP'!D18/D16</f>
        <v>0.22893427324781504</v>
      </c>
      <c r="E15" s="68">
        <f>'TAHAP 3 – WP'!E18/E16</f>
        <v>0.18314741859825204</v>
      </c>
      <c r="F15" s="68">
        <f>'TAHAP 3 – WP'!F18/F16</f>
        <v>0.22587697572631282</v>
      </c>
      <c r="G15" s="68">
        <f>'TAHAP 3 – WP'!G18/G16</f>
        <v>0.18033392693348646</v>
      </c>
      <c r="H15" s="68">
        <f>'TAHAP 3 – WP'!H18/H16</f>
        <v>0.22205779584216379</v>
      </c>
      <c r="I15" s="68">
        <f>'TAHAP 3 – WP'!I18/I16</f>
        <v>0.18314741859825204</v>
      </c>
      <c r="J15" s="68">
        <f>'TAHAP 3 – WP'!J18/J16</f>
        <v>0.22990024493585143</v>
      </c>
      <c r="K15" s="80">
        <f>SQRT((D29-D30)^2+(E29-E30)^2+(F29-F30)^2+(G29-G30)^2+(H29-H30)^2+(I29-I30)^2+(J29-J30)^2)</f>
        <v>9.8599215854810532E-2</v>
      </c>
      <c r="L15" s="81">
        <f>SQRT((D29-D31)^2+(E29-E31)^2+(F29-F31)^2+(G29-G31)^2+(H29-H31)^2+(I29-I31)^2+(J29-J31)^2)</f>
        <v>2.046498051176094E-2</v>
      </c>
      <c r="M15" s="69">
        <f t="shared" si="0"/>
        <v>0.1718819018334776</v>
      </c>
      <c r="N15" s="75">
        <f>RANK(M15,M6:M15,0)</f>
        <v>9</v>
      </c>
      <c r="O15" s="82" t="str">
        <f>'TAHAP 3 – WP'!M18</f>
        <v>K3</v>
      </c>
    </row>
    <row r="16" spans="2:15" ht="25.5" x14ac:dyDescent="0.25">
      <c r="C16" s="83" t="s">
        <v>173</v>
      </c>
      <c r="D16" s="70">
        <f>SQRT(SUMPRODUCT('TAHAP 3 – WP'!D9:D18,'TAHAP 3 – WP'!D9:D18))</f>
        <v>21.840329667841555</v>
      </c>
      <c r="E16" s="70">
        <f>SQRT(SUMPRODUCT('TAHAP 3 – WP'!E9:E18,'TAHAP 3 – WP'!E9:E18))</f>
        <v>21.840329667841555</v>
      </c>
      <c r="F16" s="70">
        <f>SQRT(SUMPRODUCT('TAHAP 3 – WP'!F9:F18,'TAHAP 3 – WP'!F9:F18))</f>
        <v>22.135943621178654</v>
      </c>
      <c r="G16" s="70">
        <f>SQRT(SUMPRODUCT('TAHAP 3 – WP'!G9:G18,'TAHAP 3 – WP'!G9:G18))</f>
        <v>22.181073012818835</v>
      </c>
      <c r="H16" s="70">
        <f>SQRT(SUMPRODUCT('TAHAP 3 – WP'!H9:H18,'TAHAP 3 – WP'!H9:H18))</f>
        <v>22.516660498395403</v>
      </c>
      <c r="I16" s="70">
        <f>SQRT(SUMPRODUCT('TAHAP 3 – WP'!I9:I18,'TAHAP 3 – WP'!I9:I18))</f>
        <v>21.840329667841555</v>
      </c>
      <c r="J16" s="70">
        <f>SQRT(SUMPRODUCT('TAHAP 3 – WP'!J9:J18,'TAHAP 3 – WP'!J9:J18))</f>
        <v>21.748563170931547</v>
      </c>
    </row>
    <row r="18" spans="2:14" ht="15" customHeight="1" x14ac:dyDescent="0.25">
      <c r="B18" s="135" t="s">
        <v>174</v>
      </c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</row>
    <row r="19" spans="2:14" ht="39.75" customHeight="1" x14ac:dyDescent="0.25">
      <c r="B19" s="61" t="s">
        <v>16</v>
      </c>
      <c r="C19" s="61" t="s">
        <v>17</v>
      </c>
      <c r="D19" s="61" t="s">
        <v>175</v>
      </c>
      <c r="E19" s="61" t="s">
        <v>176</v>
      </c>
      <c r="F19" s="61" t="s">
        <v>177</v>
      </c>
      <c r="G19" s="61" t="s">
        <v>178</v>
      </c>
      <c r="H19" s="61" t="s">
        <v>179</v>
      </c>
      <c r="I19" s="61" t="s">
        <v>180</v>
      </c>
      <c r="J19" s="61" t="s">
        <v>181</v>
      </c>
    </row>
    <row r="20" spans="2:14" ht="21.75" customHeight="1" x14ac:dyDescent="0.25">
      <c r="B20" s="73">
        <v>1</v>
      </c>
      <c r="C20" s="4" t="str">
        <f t="shared" ref="C20:C29" si="1">C6</f>
        <v>Andi Setiawan</v>
      </c>
      <c r="D20" s="64">
        <f>D6*'TAHAP 3 – WP'!C6</f>
        <v>0.15315384825478631</v>
      </c>
      <c r="E20" s="64">
        <f>E6*'TAHAP 3 – WP'!D6</f>
        <v>7.3465498927491615E-2</v>
      </c>
      <c r="F20" s="64">
        <f>F6*'TAHAP 3 – WP'!E6</f>
        <v>4.5799406820628233E-2</v>
      </c>
      <c r="G20" s="64">
        <f>G6*'TAHAP 3 – WP'!F6</f>
        <v>1.8346387893753882E-2</v>
      </c>
      <c r="H20" s="64">
        <f>H6*'TAHAP 3 – WP'!G6</f>
        <v>4.502501991079446E-2</v>
      </c>
      <c r="I20" s="64">
        <f>I6*'TAHAP 3 – WP'!H6</f>
        <v>1.6303542741071386E-2</v>
      </c>
      <c r="J20" s="64">
        <f>J6*'TAHAP 3 – WP'!I6</f>
        <v>9.4315847042009075E-3</v>
      </c>
    </row>
    <row r="21" spans="2:14" ht="21.75" customHeight="1" x14ac:dyDescent="0.25">
      <c r="B21" s="63">
        <v>2</v>
      </c>
      <c r="C21" s="77" t="str">
        <f t="shared" si="1"/>
        <v>Budi Santoso</v>
      </c>
      <c r="D21" s="68">
        <f>D7*'TAHAP 3 – WP'!C6</f>
        <v>9.5721155159241442E-2</v>
      </c>
      <c r="E21" s="68">
        <f>E7*'TAHAP 3 – WP'!D6</f>
        <v>6.2970427652135674E-2</v>
      </c>
      <c r="F21" s="68">
        <f>F7*'TAHAP 3 – WP'!E6</f>
        <v>2.5444114900349021E-2</v>
      </c>
      <c r="G21" s="68">
        <f>G7*'TAHAP 3 – WP'!F6</f>
        <v>1.375979092031541E-2</v>
      </c>
      <c r="H21" s="68">
        <f>H7*'TAHAP 3 – WP'!G6</f>
        <v>2.5013899950441364E-2</v>
      </c>
      <c r="I21" s="68">
        <f>I7*'TAHAP 3 – WP'!H6</f>
        <v>1.3974465206632617E-2</v>
      </c>
      <c r="J21" s="68">
        <f>J7*'TAHAP 3 – WP'!I6</f>
        <v>5.8947404401255669E-3</v>
      </c>
    </row>
    <row r="22" spans="2:14" ht="21.75" customHeight="1" x14ac:dyDescent="0.25">
      <c r="B22" s="73">
        <v>3</v>
      </c>
      <c r="C22" s="4" t="str">
        <f t="shared" si="1"/>
        <v>Citra Dewi</v>
      </c>
      <c r="D22" s="64">
        <f>D8*'TAHAP 3 – WP'!C6</f>
        <v>0.1722980792866346</v>
      </c>
      <c r="E22" s="64">
        <f>E8*'TAHAP 3 – WP'!D6</f>
        <v>9.4455641478203498E-2</v>
      </c>
      <c r="F22" s="64">
        <f>F8*'TAHAP 3 – WP'!E6</f>
        <v>4.0710583840558437E-2</v>
      </c>
      <c r="G22" s="64">
        <f>G8*'TAHAP 3 – WP'!F6</f>
        <v>2.0639686380473116E-2</v>
      </c>
      <c r="H22" s="64">
        <f>H8*'TAHAP 3 – WP'!G6</f>
        <v>4.502501991079446E-2</v>
      </c>
      <c r="I22" s="64">
        <f>I8*'TAHAP 3 – WP'!H6</f>
        <v>1.8632620275510155E-2</v>
      </c>
      <c r="J22" s="64">
        <f>J8*'TAHAP 3 – WP'!I6</f>
        <v>1.0610532792226022E-2</v>
      </c>
    </row>
    <row r="23" spans="2:14" ht="21.75" customHeight="1" x14ac:dyDescent="0.25">
      <c r="B23" s="63">
        <v>4</v>
      </c>
      <c r="C23" s="77" t="str">
        <f t="shared" si="1"/>
        <v>Dian Pratiwi</v>
      </c>
      <c r="D23" s="68">
        <f>D9*'TAHAP 3 – WP'!C6</f>
        <v>0.11486538619108973</v>
      </c>
      <c r="E23" s="68">
        <f>E9*'TAHAP 3 – WP'!D6</f>
        <v>5.2475356376779719E-2</v>
      </c>
      <c r="F23" s="68">
        <f>F9*'TAHAP 3 – WP'!E6</f>
        <v>3.0532937880418828E-2</v>
      </c>
      <c r="G23" s="68">
        <f>G9*'TAHAP 3 – WP'!F6</f>
        <v>1.1466492433596175E-2</v>
      </c>
      <c r="H23" s="68">
        <f>H9*'TAHAP 3 – WP'!G6</f>
        <v>3.0016679940529638E-2</v>
      </c>
      <c r="I23" s="68">
        <f>I9*'TAHAP 3 – WP'!H6</f>
        <v>1.1645387672193846E-2</v>
      </c>
      <c r="J23" s="68">
        <f>J9*'TAHAP 3 – WP'!I6</f>
        <v>7.073688528150681E-3</v>
      </c>
    </row>
    <row r="24" spans="2:14" ht="21.75" customHeight="1" x14ac:dyDescent="0.25">
      <c r="B24" s="73">
        <v>5</v>
      </c>
      <c r="C24" s="4" t="str">
        <f t="shared" si="1"/>
        <v>Eko Wahyudi</v>
      </c>
      <c r="D24" s="64">
        <f>D10*'TAHAP 3 – WP'!C6</f>
        <v>0.13400961722293803</v>
      </c>
      <c r="E24" s="64">
        <f>E10*'TAHAP 3 – WP'!D6</f>
        <v>8.3960570202847556E-2</v>
      </c>
      <c r="F24" s="64">
        <f>F10*'TAHAP 3 – WP'!E6</f>
        <v>3.5621760860488627E-2</v>
      </c>
      <c r="G24" s="64">
        <f>G10*'TAHAP 3 – WP'!F6</f>
        <v>1.8346387893753882E-2</v>
      </c>
      <c r="H24" s="64">
        <f>H10*'TAHAP 3 – WP'!G6</f>
        <v>3.5019459930617912E-2</v>
      </c>
      <c r="I24" s="64">
        <f>I10*'TAHAP 3 – WP'!H6</f>
        <v>1.8632620275510155E-2</v>
      </c>
      <c r="J24" s="64">
        <f>J10*'TAHAP 3 – WP'!I6</f>
        <v>8.2526366161757951E-3</v>
      </c>
    </row>
    <row r="25" spans="2:14" ht="21.75" customHeight="1" x14ac:dyDescent="0.25">
      <c r="B25" s="63">
        <v>6</v>
      </c>
      <c r="C25" s="77" t="str">
        <f t="shared" si="1"/>
        <v>Fitri Handayani</v>
      </c>
      <c r="D25" s="68">
        <f>D11*'TAHAP 3 – WP'!C6</f>
        <v>7.6576924127393156E-2</v>
      </c>
      <c r="E25" s="68">
        <f>E11*'TAHAP 3 – WP'!D6</f>
        <v>5.2475356376779719E-2</v>
      </c>
      <c r="F25" s="68">
        <f>F11*'TAHAP 3 – WP'!E6</f>
        <v>2.0355291920279218E-2</v>
      </c>
      <c r="G25" s="68">
        <f>G11*'TAHAP 3 – WP'!F6</f>
        <v>1.1466492433596175E-2</v>
      </c>
      <c r="H25" s="68">
        <f>H11*'TAHAP 3 – WP'!G6</f>
        <v>2.0011119960353093E-2</v>
      </c>
      <c r="I25" s="68">
        <f>I11*'TAHAP 3 – WP'!H6</f>
        <v>1.1645387672193846E-2</v>
      </c>
      <c r="J25" s="68">
        <f>J11*'TAHAP 3 – WP'!I6</f>
        <v>4.7157923521004537E-3</v>
      </c>
    </row>
    <row r="26" spans="2:14" ht="21.75" customHeight="1" x14ac:dyDescent="0.25">
      <c r="B26" s="73">
        <v>7</v>
      </c>
      <c r="C26" s="4" t="str">
        <f t="shared" si="1"/>
        <v>Galih Nugroho</v>
      </c>
      <c r="D26" s="64">
        <f>D12*'TAHAP 3 – WP'!C6</f>
        <v>0.1722980792866346</v>
      </c>
      <c r="E26" s="64">
        <f>E12*'TAHAP 3 – WP'!D6</f>
        <v>8.3960570202847556E-2</v>
      </c>
      <c r="F26" s="64">
        <f>F12*'TAHAP 3 – WP'!E6</f>
        <v>4.5799406820628233E-2</v>
      </c>
      <c r="G26" s="64">
        <f>G12*'TAHAP 3 – WP'!F6</f>
        <v>2.0639686380473116E-2</v>
      </c>
      <c r="H26" s="64">
        <f>H12*'TAHAP 3 – WP'!G6</f>
        <v>4.0022239920706186E-2</v>
      </c>
      <c r="I26" s="64">
        <f>I12*'TAHAP 3 – WP'!H6</f>
        <v>2.0961697809948925E-2</v>
      </c>
      <c r="J26" s="64">
        <f>J12*'TAHAP 3 – WP'!I6</f>
        <v>9.4315847042009075E-3</v>
      </c>
    </row>
    <row r="27" spans="2:14" ht="21.75" customHeight="1" x14ac:dyDescent="0.25">
      <c r="B27" s="63">
        <v>8</v>
      </c>
      <c r="C27" s="77" t="str">
        <f t="shared" si="1"/>
        <v>Hana Putri</v>
      </c>
      <c r="D27" s="68">
        <f>D13*'TAHAP 3 – WP'!C6</f>
        <v>0.11486538619108973</v>
      </c>
      <c r="E27" s="68">
        <f>E13*'TAHAP 3 – WP'!D6</f>
        <v>6.2970427652135674E-2</v>
      </c>
      <c r="F27" s="68">
        <f>F13*'TAHAP 3 – WP'!E6</f>
        <v>3.5621760860488627E-2</v>
      </c>
      <c r="G27" s="68">
        <f>G13*'TAHAP 3 – WP'!F6</f>
        <v>1.375979092031541E-2</v>
      </c>
      <c r="H27" s="68">
        <f>H13*'TAHAP 3 – WP'!G6</f>
        <v>3.5019459930617912E-2</v>
      </c>
      <c r="I27" s="68">
        <f>I13*'TAHAP 3 – WP'!H6</f>
        <v>1.3974465206632617E-2</v>
      </c>
      <c r="J27" s="68">
        <f>J13*'TAHAP 3 – WP'!I6</f>
        <v>8.2526366161757951E-3</v>
      </c>
    </row>
    <row r="28" spans="2:14" ht="21.75" customHeight="1" x14ac:dyDescent="0.25">
      <c r="B28" s="73">
        <v>9</v>
      </c>
      <c r="C28" s="4" t="str">
        <f t="shared" si="1"/>
        <v>Indra Kusuma</v>
      </c>
      <c r="D28" s="64">
        <f>D14*'TAHAP 3 – WP'!C6</f>
        <v>0.15315384825478631</v>
      </c>
      <c r="E28" s="64">
        <f>E14*'TAHAP 3 – WP'!D6</f>
        <v>9.4455641478203498E-2</v>
      </c>
      <c r="F28" s="64">
        <f>F14*'TAHAP 3 – WP'!E6</f>
        <v>4.0710583840558437E-2</v>
      </c>
      <c r="G28" s="64">
        <f>G14*'TAHAP 3 – WP'!F6</f>
        <v>1.8346387893753882E-2</v>
      </c>
      <c r="H28" s="64">
        <f>H14*'TAHAP 3 – WP'!G6</f>
        <v>4.502501991079446E-2</v>
      </c>
      <c r="I28" s="64">
        <f>I14*'TAHAP 3 – WP'!H6</f>
        <v>2.0961697809948925E-2</v>
      </c>
      <c r="J28" s="64">
        <f>J14*'TAHAP 3 – WP'!I6</f>
        <v>9.4315847042009075E-3</v>
      </c>
    </row>
    <row r="29" spans="2:14" ht="21.75" customHeight="1" x14ac:dyDescent="0.25">
      <c r="B29" s="63">
        <v>10</v>
      </c>
      <c r="C29" s="77" t="str">
        <f t="shared" si="1"/>
        <v>Joko Purnomo</v>
      </c>
      <c r="D29" s="68">
        <f>D15*'TAHAP 3 – WP'!C6</f>
        <v>9.5721155159241442E-2</v>
      </c>
      <c r="E29" s="68">
        <f>E15*'TAHAP 3 – WP'!D6</f>
        <v>4.1980285101423778E-2</v>
      </c>
      <c r="F29" s="68">
        <f>F15*'TAHAP 3 – WP'!E6</f>
        <v>2.5444114900349021E-2</v>
      </c>
      <c r="G29" s="68">
        <f>G15*'TAHAP 3 – WP'!F6</f>
        <v>9.1731939468769411E-3</v>
      </c>
      <c r="H29" s="68">
        <f>H15*'TAHAP 3 – WP'!G6</f>
        <v>2.5013899950441364E-2</v>
      </c>
      <c r="I29" s="68">
        <f>I15*'TAHAP 3 – WP'!H6</f>
        <v>9.3163101377550777E-3</v>
      </c>
      <c r="J29" s="68">
        <f>J15*'TAHAP 3 – WP'!I6</f>
        <v>5.8947404401255669E-3</v>
      </c>
    </row>
    <row r="30" spans="2:14" ht="21.75" customHeight="1" x14ac:dyDescent="0.25">
      <c r="B30" s="84" t="s">
        <v>182</v>
      </c>
      <c r="D30" s="81">
        <f t="shared" ref="D30:J30" si="2">MAX(D20:D29)</f>
        <v>0.1722980792866346</v>
      </c>
      <c r="E30" s="81">
        <f t="shared" si="2"/>
        <v>9.4455641478203498E-2</v>
      </c>
      <c r="F30" s="81">
        <f t="shared" si="2"/>
        <v>4.5799406820628233E-2</v>
      </c>
      <c r="G30" s="81">
        <f t="shared" si="2"/>
        <v>2.0639686380473116E-2</v>
      </c>
      <c r="H30" s="81">
        <f t="shared" si="2"/>
        <v>4.502501991079446E-2</v>
      </c>
      <c r="I30" s="81">
        <f t="shared" si="2"/>
        <v>2.0961697809948925E-2</v>
      </c>
      <c r="J30" s="81">
        <f t="shared" si="2"/>
        <v>1.0610532792226022E-2</v>
      </c>
    </row>
    <row r="31" spans="2:14" ht="21.75" customHeight="1" x14ac:dyDescent="0.25">
      <c r="B31" s="85" t="s">
        <v>183</v>
      </c>
      <c r="D31" s="80">
        <f t="shared" ref="D31:J31" si="3">MIN(D20:D29)</f>
        <v>7.6576924127393156E-2</v>
      </c>
      <c r="E31" s="80">
        <f t="shared" si="3"/>
        <v>4.1980285101423778E-2</v>
      </c>
      <c r="F31" s="80">
        <f t="shared" si="3"/>
        <v>2.0355291920279218E-2</v>
      </c>
      <c r="G31" s="80">
        <f t="shared" si="3"/>
        <v>9.1731939468769411E-3</v>
      </c>
      <c r="H31" s="80">
        <f t="shared" si="3"/>
        <v>2.0011119960353093E-2</v>
      </c>
      <c r="I31" s="80">
        <f t="shared" si="3"/>
        <v>9.3163101377550777E-3</v>
      </c>
      <c r="J31" s="80">
        <f t="shared" si="3"/>
        <v>4.7157923521004537E-3</v>
      </c>
    </row>
    <row r="33" spans="2:14" ht="15" customHeight="1" x14ac:dyDescent="0.25">
      <c r="B33" s="135" t="s">
        <v>184</v>
      </c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</row>
    <row r="34" spans="2:14" ht="34.5" customHeight="1" x14ac:dyDescent="0.25">
      <c r="B34" s="61" t="s">
        <v>16</v>
      </c>
      <c r="C34" s="61" t="s">
        <v>17</v>
      </c>
      <c r="D34" s="61" t="s">
        <v>156</v>
      </c>
      <c r="E34" s="61" t="s">
        <v>185</v>
      </c>
      <c r="F34" s="61" t="s">
        <v>186</v>
      </c>
      <c r="G34" s="61" t="s">
        <v>187</v>
      </c>
    </row>
    <row r="35" spans="2:14" ht="21.75" customHeight="1" x14ac:dyDescent="0.25">
      <c r="B35" s="73">
        <v>1</v>
      </c>
      <c r="C35" s="4" t="str">
        <f>'TAHAP 3 – WP'!C9</f>
        <v>Andi Setiawan</v>
      </c>
      <c r="D35" s="74">
        <f>'TAHAP 3 – WP'!L9</f>
        <v>4</v>
      </c>
      <c r="E35" s="74">
        <f t="shared" ref="E35:E44" si="4">N6</f>
        <v>4</v>
      </c>
      <c r="F35" s="74">
        <f t="shared" ref="F35:F44" si="5">ABS(D35-E35)</f>
        <v>0</v>
      </c>
      <c r="G35" s="86" t="str">
        <f t="shared" ref="G35:G44" si="6">IF(F35&lt;=1,"✔ YA","✘ TIDAK")</f>
        <v>✔ YA</v>
      </c>
    </row>
    <row r="36" spans="2:14" ht="21.75" customHeight="1" x14ac:dyDescent="0.25">
      <c r="B36" s="63">
        <v>2</v>
      </c>
      <c r="C36" s="77" t="str">
        <f>'TAHAP 3 – WP'!C10</f>
        <v>Budi Santoso</v>
      </c>
      <c r="D36" s="78">
        <f>'TAHAP 3 – WP'!L10</f>
        <v>8</v>
      </c>
      <c r="E36" s="78">
        <f t="shared" si="4"/>
        <v>8</v>
      </c>
      <c r="F36" s="78">
        <f t="shared" si="5"/>
        <v>0</v>
      </c>
      <c r="G36" s="86" t="str">
        <f t="shared" si="6"/>
        <v>✔ YA</v>
      </c>
    </row>
    <row r="37" spans="2:14" ht="21.75" customHeight="1" x14ac:dyDescent="0.25">
      <c r="B37" s="73">
        <v>3</v>
      </c>
      <c r="C37" s="4" t="str">
        <f>'TAHAP 3 – WP'!C11</f>
        <v>Citra Dewi</v>
      </c>
      <c r="D37" s="74">
        <f>'TAHAP 3 – WP'!L11</f>
        <v>1</v>
      </c>
      <c r="E37" s="74">
        <f t="shared" si="4"/>
        <v>1</v>
      </c>
      <c r="F37" s="74">
        <f t="shared" si="5"/>
        <v>0</v>
      </c>
      <c r="G37" s="86" t="str">
        <f t="shared" si="6"/>
        <v>✔ YA</v>
      </c>
    </row>
    <row r="38" spans="2:14" ht="21.75" customHeight="1" x14ac:dyDescent="0.25">
      <c r="B38" s="63">
        <v>4</v>
      </c>
      <c r="C38" s="77" t="str">
        <f>'TAHAP 3 – WP'!C12</f>
        <v>Dian Pratiwi</v>
      </c>
      <c r="D38" s="78">
        <f>'TAHAP 3 – WP'!L12</f>
        <v>7</v>
      </c>
      <c r="E38" s="78">
        <f t="shared" si="4"/>
        <v>7</v>
      </c>
      <c r="F38" s="78">
        <f t="shared" si="5"/>
        <v>0</v>
      </c>
      <c r="G38" s="86" t="str">
        <f t="shared" si="6"/>
        <v>✔ YA</v>
      </c>
    </row>
    <row r="39" spans="2:14" ht="21.75" customHeight="1" x14ac:dyDescent="0.25">
      <c r="B39" s="73">
        <v>5</v>
      </c>
      <c r="C39" s="4" t="str">
        <f>'TAHAP 3 – WP'!C13</f>
        <v>Eko Wahyudi</v>
      </c>
      <c r="D39" s="74">
        <f>'TAHAP 3 – WP'!L13</f>
        <v>5</v>
      </c>
      <c r="E39" s="74">
        <f t="shared" si="4"/>
        <v>5</v>
      </c>
      <c r="F39" s="74">
        <f t="shared" si="5"/>
        <v>0</v>
      </c>
      <c r="G39" s="86" t="str">
        <f t="shared" si="6"/>
        <v>✔ YA</v>
      </c>
    </row>
    <row r="40" spans="2:14" ht="21.75" customHeight="1" x14ac:dyDescent="0.25">
      <c r="B40" s="63">
        <v>6</v>
      </c>
      <c r="C40" s="77" t="str">
        <f>'TAHAP 3 – WP'!C14</f>
        <v>Fitri Handayani</v>
      </c>
      <c r="D40" s="78">
        <f>'TAHAP 3 – WP'!L14</f>
        <v>10</v>
      </c>
      <c r="E40" s="78">
        <f t="shared" si="4"/>
        <v>10</v>
      </c>
      <c r="F40" s="78">
        <f t="shared" si="5"/>
        <v>0</v>
      </c>
      <c r="G40" s="86" t="str">
        <f t="shared" si="6"/>
        <v>✔ YA</v>
      </c>
    </row>
    <row r="41" spans="2:14" ht="21.75" customHeight="1" x14ac:dyDescent="0.25">
      <c r="B41" s="73">
        <v>7</v>
      </c>
      <c r="C41" s="4" t="str">
        <f>'TAHAP 3 – WP'!C15</f>
        <v>Galih Nugroho</v>
      </c>
      <c r="D41" s="74">
        <f>'TAHAP 3 – WP'!L15</f>
        <v>2</v>
      </c>
      <c r="E41" s="74">
        <f t="shared" si="4"/>
        <v>2</v>
      </c>
      <c r="F41" s="74">
        <f t="shared" si="5"/>
        <v>0</v>
      </c>
      <c r="G41" s="86" t="str">
        <f t="shared" si="6"/>
        <v>✔ YA</v>
      </c>
    </row>
    <row r="42" spans="2:14" ht="21.75" customHeight="1" x14ac:dyDescent="0.25">
      <c r="B42" s="63">
        <v>8</v>
      </c>
      <c r="C42" s="77" t="str">
        <f>'TAHAP 3 – WP'!C16</f>
        <v>Hana Putri</v>
      </c>
      <c r="D42" s="78">
        <f>'TAHAP 3 – WP'!L16</f>
        <v>6</v>
      </c>
      <c r="E42" s="78">
        <f t="shared" si="4"/>
        <v>6</v>
      </c>
      <c r="F42" s="78">
        <f t="shared" si="5"/>
        <v>0</v>
      </c>
      <c r="G42" s="86" t="str">
        <f t="shared" si="6"/>
        <v>✔ YA</v>
      </c>
    </row>
    <row r="43" spans="2:14" ht="21.75" customHeight="1" x14ac:dyDescent="0.25">
      <c r="B43" s="73">
        <v>9</v>
      </c>
      <c r="C43" s="4" t="str">
        <f>'TAHAP 3 – WP'!C17</f>
        <v>Indra Kusuma</v>
      </c>
      <c r="D43" s="74">
        <f>'TAHAP 3 – WP'!L17</f>
        <v>3</v>
      </c>
      <c r="E43" s="74">
        <f t="shared" si="4"/>
        <v>3</v>
      </c>
      <c r="F43" s="74">
        <f t="shared" si="5"/>
        <v>0</v>
      </c>
      <c r="G43" s="86" t="str">
        <f t="shared" si="6"/>
        <v>✔ YA</v>
      </c>
    </row>
    <row r="44" spans="2:14" ht="21.75" customHeight="1" x14ac:dyDescent="0.25">
      <c r="B44" s="63">
        <v>10</v>
      </c>
      <c r="C44" s="77" t="str">
        <f>'TAHAP 3 – WP'!C18</f>
        <v>Joko Purnomo</v>
      </c>
      <c r="D44" s="78">
        <f>'TAHAP 3 – WP'!L18</f>
        <v>9</v>
      </c>
      <c r="E44" s="78">
        <f t="shared" si="4"/>
        <v>9</v>
      </c>
      <c r="F44" s="78">
        <f t="shared" si="5"/>
        <v>0</v>
      </c>
      <c r="G44" s="86" t="str">
        <f t="shared" si="6"/>
        <v>✔ YA</v>
      </c>
    </row>
    <row r="46" spans="2:14" ht="21.75" customHeight="1" x14ac:dyDescent="0.25">
      <c r="B46" s="136" t="s">
        <v>188</v>
      </c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</row>
    <row r="47" spans="2:14" ht="15" customHeight="1" x14ac:dyDescent="0.25">
      <c r="H47" s="87">
        <f>COUNTIF(G35:G44,"✔ YA")/10</f>
        <v>1</v>
      </c>
    </row>
  </sheetData>
  <mergeCells count="6">
    <mergeCell ref="B46:N46"/>
    <mergeCell ref="B1:N1"/>
    <mergeCell ref="B2:N2"/>
    <mergeCell ref="B4:N4"/>
    <mergeCell ref="B18:N18"/>
    <mergeCell ref="B33:N3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showGridLines="0" tabSelected="1" topLeftCell="A13" zoomScaleNormal="100" workbookViewId="0">
      <selection activeCell="B23" sqref="B23:I23"/>
    </sheetView>
  </sheetViews>
  <sheetFormatPr defaultColWidth="8.7109375" defaultRowHeight="15" x14ac:dyDescent="0.25"/>
  <cols>
    <col min="1" max="1" width="5" style="1" customWidth="1"/>
    <col min="2" max="2" width="22" style="1" customWidth="1"/>
    <col min="3" max="6" width="13" style="1" customWidth="1"/>
    <col min="7" max="7" width="12" style="1" customWidth="1"/>
    <col min="8" max="8" width="18" style="1" customWidth="1"/>
    <col min="9" max="9" width="20" style="1" customWidth="1"/>
  </cols>
  <sheetData>
    <row r="1" spans="2:11" ht="15" customHeight="1" x14ac:dyDescent="0.25">
      <c r="B1" s="134" t="s">
        <v>189</v>
      </c>
      <c r="C1" s="134"/>
      <c r="D1" s="134"/>
      <c r="E1" s="134"/>
      <c r="F1" s="134"/>
      <c r="G1" s="134"/>
      <c r="H1" s="134"/>
      <c r="I1" s="134"/>
    </row>
    <row r="2" spans="2:11" ht="15" customHeight="1" x14ac:dyDescent="0.25">
      <c r="B2" s="142" t="s">
        <v>190</v>
      </c>
      <c r="C2" s="142"/>
      <c r="D2" s="142"/>
      <c r="E2" s="142"/>
      <c r="F2" s="142"/>
      <c r="G2" s="142"/>
      <c r="H2" s="142"/>
      <c r="I2" s="142"/>
    </row>
    <row r="4" spans="2:11" ht="15" customHeight="1" x14ac:dyDescent="0.25">
      <c r="B4" s="135" t="s">
        <v>191</v>
      </c>
      <c r="C4" s="135"/>
      <c r="D4" s="135"/>
      <c r="E4" s="135"/>
      <c r="F4" s="135"/>
      <c r="G4" s="135"/>
      <c r="H4" s="135"/>
      <c r="I4" s="135"/>
    </row>
    <row r="5" spans="2:11" ht="45" customHeight="1" x14ac:dyDescent="0.25">
      <c r="B5" s="61" t="s">
        <v>16</v>
      </c>
      <c r="C5" s="61" t="s">
        <v>17</v>
      </c>
      <c r="D5" s="61" t="s">
        <v>192</v>
      </c>
      <c r="E5" s="61" t="s">
        <v>156</v>
      </c>
      <c r="F5" s="61" t="s">
        <v>193</v>
      </c>
      <c r="G5" s="61" t="s">
        <v>185</v>
      </c>
      <c r="H5" s="61" t="s">
        <v>67</v>
      </c>
      <c r="I5" s="61" t="s">
        <v>194</v>
      </c>
      <c r="J5" s="61" t="s">
        <v>195</v>
      </c>
      <c r="K5" s="61" t="s">
        <v>196</v>
      </c>
    </row>
    <row r="6" spans="2:11" ht="24.75" customHeight="1" x14ac:dyDescent="0.25">
      <c r="B6" s="73">
        <v>1</v>
      </c>
      <c r="C6" s="4" t="str">
        <f>'TAHAP 3 – WP'!C9</f>
        <v>Andi Setiawan</v>
      </c>
      <c r="D6" s="64">
        <f>'TAHAP 3 – WP'!K9</f>
        <v>7.9135551847656185</v>
      </c>
      <c r="E6" s="74">
        <f>'TAHAP 3 – WP'!L9</f>
        <v>4</v>
      </c>
      <c r="F6" s="64">
        <f>'TAHAP 4 – TOPSIS'!M6</f>
        <v>0.75897040763437995</v>
      </c>
      <c r="G6" s="74">
        <f>'TAHAP 4 – TOPSIS'!N6</f>
        <v>4</v>
      </c>
      <c r="H6" s="76" t="str">
        <f>'TAHAP 3 – WP'!M9</f>
        <v>K1</v>
      </c>
      <c r="I6" s="88">
        <f t="shared" ref="I6:I15" si="0">(D6+F6)/2</f>
        <v>4.3362627961999989</v>
      </c>
      <c r="J6" s="89">
        <f>RANK(I6,I6:I15,0)</f>
        <v>4</v>
      </c>
      <c r="K6" s="90" t="str">
        <f t="shared" ref="K6:K15" si="1">IF(H6="K1","Promosi / Pengembangan Lanjut",IF(H6="K2","Pertahankan &amp; Tingkatkan","Perlu Pembinaan Intensif"))</f>
        <v>Promosi / Pengembangan Lanjut</v>
      </c>
    </row>
    <row r="7" spans="2:11" ht="24.75" customHeight="1" x14ac:dyDescent="0.25">
      <c r="B7" s="63">
        <v>2</v>
      </c>
      <c r="C7" s="77" t="str">
        <f>'TAHAP 3 – WP'!C10</f>
        <v>Budi Santoso</v>
      </c>
      <c r="D7" s="68">
        <f>'TAHAP 3 – WP'!K10</f>
        <v>5.3109859588063157</v>
      </c>
      <c r="E7" s="78">
        <f>'TAHAP 3 – WP'!L10</f>
        <v>8</v>
      </c>
      <c r="F7" s="68">
        <f>'TAHAP 4 – TOPSIS'!M7</f>
        <v>0.25391878693683295</v>
      </c>
      <c r="G7" s="78">
        <f>'TAHAP 4 – TOPSIS'!N7</f>
        <v>8</v>
      </c>
      <c r="H7" s="79" t="str">
        <f>'TAHAP 3 – WP'!M10</f>
        <v>K3</v>
      </c>
      <c r="I7" s="88">
        <f t="shared" si="0"/>
        <v>2.7824523728715742</v>
      </c>
      <c r="J7" s="89">
        <f>RANK(I7,I6:I15,0)</f>
        <v>8</v>
      </c>
      <c r="K7" s="91" t="str">
        <f t="shared" si="1"/>
        <v>Perlu Pembinaan Intensif</v>
      </c>
    </row>
    <row r="8" spans="2:11" ht="24.75" customHeight="1" x14ac:dyDescent="0.25">
      <c r="B8" s="73">
        <v>3</v>
      </c>
      <c r="C8" s="4" t="str">
        <f>'TAHAP 3 – WP'!C11</f>
        <v>Citra Dewi</v>
      </c>
      <c r="D8" s="64">
        <f>'TAHAP 3 – WP'!K11</f>
        <v>8.8283261711137531</v>
      </c>
      <c r="E8" s="74">
        <f>'TAHAP 3 – WP'!L11</f>
        <v>1</v>
      </c>
      <c r="F8" s="64">
        <f>'TAHAP 4 – TOPSIS'!M8</f>
        <v>0.95356688366418274</v>
      </c>
      <c r="G8" s="74">
        <f>'TAHAP 4 – TOPSIS'!N8</f>
        <v>1</v>
      </c>
      <c r="H8" s="76" t="str">
        <f>'TAHAP 3 – WP'!M11</f>
        <v>K1</v>
      </c>
      <c r="I8" s="88">
        <f t="shared" si="0"/>
        <v>4.8909465273889676</v>
      </c>
      <c r="J8" s="89">
        <f>RANK(I8,I6:I15,0)</f>
        <v>1</v>
      </c>
      <c r="K8" s="90" t="str">
        <f t="shared" si="1"/>
        <v>Promosi / Pengembangan Lanjut</v>
      </c>
    </row>
    <row r="9" spans="2:11" ht="24.75" customHeight="1" x14ac:dyDescent="0.25">
      <c r="B9" s="63">
        <v>4</v>
      </c>
      <c r="C9" s="77" t="str">
        <f>'TAHAP 3 – WP'!C12</f>
        <v>Dian Pratiwi</v>
      </c>
      <c r="D9" s="68">
        <f>'TAHAP 3 – WP'!K12</f>
        <v>5.6486686714462202</v>
      </c>
      <c r="E9" s="78">
        <f>'TAHAP 3 – WP'!L12</f>
        <v>7</v>
      </c>
      <c r="F9" s="68">
        <f>'TAHAP 4 – TOPSIS'!M9</f>
        <v>0.35947198209646375</v>
      </c>
      <c r="G9" s="78">
        <f>'TAHAP 4 – TOPSIS'!N9</f>
        <v>7</v>
      </c>
      <c r="H9" s="79" t="str">
        <f>'TAHAP 3 – WP'!M12</f>
        <v>K3</v>
      </c>
      <c r="I9" s="88">
        <f t="shared" si="0"/>
        <v>3.004070326771342</v>
      </c>
      <c r="J9" s="89">
        <f>RANK(I9,I6:I15,0)</f>
        <v>7</v>
      </c>
      <c r="K9" s="91" t="str">
        <f t="shared" si="1"/>
        <v>Perlu Pembinaan Intensif</v>
      </c>
    </row>
    <row r="10" spans="2:11" ht="24.75" customHeight="1" x14ac:dyDescent="0.25">
      <c r="B10" s="73">
        <v>5</v>
      </c>
      <c r="C10" s="4" t="str">
        <f>'TAHAP 3 – WP'!C13</f>
        <v>Eko Wahyudi</v>
      </c>
      <c r="D10" s="64">
        <f>'TAHAP 3 – WP'!K13</f>
        <v>7.3162840691386792</v>
      </c>
      <c r="E10" s="74">
        <f>'TAHAP 3 – WP'!L13</f>
        <v>5</v>
      </c>
      <c r="F10" s="64">
        <f>'TAHAP 4 – TOPSIS'!M10</f>
        <v>0.6405280179035362</v>
      </c>
      <c r="G10" s="74">
        <f>'TAHAP 4 – TOPSIS'!N10</f>
        <v>5</v>
      </c>
      <c r="H10" s="76" t="str">
        <f>'TAHAP 3 – WP'!M13</f>
        <v>K2</v>
      </c>
      <c r="I10" s="88">
        <f t="shared" si="0"/>
        <v>3.9784060435211077</v>
      </c>
      <c r="J10" s="89">
        <f>RANK(I10,I6:I15,0)</f>
        <v>5</v>
      </c>
      <c r="K10" s="90" t="str">
        <f t="shared" si="1"/>
        <v>Pertahankan &amp; Tingkatkan</v>
      </c>
    </row>
    <row r="11" spans="2:11" ht="24.75" customHeight="1" x14ac:dyDescent="0.25">
      <c r="B11" s="63">
        <v>6</v>
      </c>
      <c r="C11" s="77" t="str">
        <f>'TAHAP 3 – WP'!C14</f>
        <v>Fitri Handayani</v>
      </c>
      <c r="D11" s="68">
        <f>'TAHAP 3 – WP'!K14</f>
        <v>4.3065798248266693</v>
      </c>
      <c r="E11" s="78">
        <f>'TAHAP 3 – WP'!L14</f>
        <v>10</v>
      </c>
      <c r="F11" s="68">
        <f>'TAHAP 4 – TOPSIS'!M11</f>
        <v>8.9832634976454107E-2</v>
      </c>
      <c r="G11" s="78">
        <f>'TAHAP 4 – TOPSIS'!N11</f>
        <v>10</v>
      </c>
      <c r="H11" s="79" t="str">
        <f>'TAHAP 3 – WP'!M14</f>
        <v>K3</v>
      </c>
      <c r="I11" s="88">
        <f t="shared" si="0"/>
        <v>2.1982062299015617</v>
      </c>
      <c r="J11" s="89">
        <f>RANK(I11,I6:I15,0)</f>
        <v>10</v>
      </c>
      <c r="K11" s="91" t="str">
        <f t="shared" si="1"/>
        <v>Perlu Pembinaan Intensif</v>
      </c>
    </row>
    <row r="12" spans="2:11" ht="24.75" customHeight="1" x14ac:dyDescent="0.25">
      <c r="B12" s="73">
        <v>7</v>
      </c>
      <c r="C12" s="4" t="str">
        <f>'TAHAP 3 – WP'!C15</f>
        <v>Galih Nugroho</v>
      </c>
      <c r="D12" s="64">
        <f>'TAHAP 3 – WP'!K15</f>
        <v>8.6187413542836833</v>
      </c>
      <c r="E12" s="74">
        <f>'TAHAP 3 – WP'!L15</f>
        <v>2</v>
      </c>
      <c r="F12" s="64">
        <f>'TAHAP 4 – TOPSIS'!M12</f>
        <v>0.90454138580165988</v>
      </c>
      <c r="G12" s="74">
        <f>'TAHAP 4 – TOPSIS'!N12</f>
        <v>2</v>
      </c>
      <c r="H12" s="76" t="str">
        <f>'TAHAP 3 – WP'!M15</f>
        <v>K1</v>
      </c>
      <c r="I12" s="88">
        <f t="shared" si="0"/>
        <v>4.7616413700426712</v>
      </c>
      <c r="J12" s="89">
        <f>RANK(I12,I6:I15,0)</f>
        <v>2</v>
      </c>
      <c r="K12" s="90" t="str">
        <f t="shared" si="1"/>
        <v>Promosi / Pengembangan Lanjut</v>
      </c>
    </row>
    <row r="13" spans="2:11" ht="24.75" customHeight="1" x14ac:dyDescent="0.25">
      <c r="B13" s="63">
        <v>8</v>
      </c>
      <c r="C13" s="77" t="str">
        <f>'TAHAP 3 – WP'!C16</f>
        <v>Hana Putri</v>
      </c>
      <c r="D13" s="68">
        <f>'TAHAP 3 – WP'!K16</f>
        <v>6.2366354244847422</v>
      </c>
      <c r="E13" s="78">
        <f>'TAHAP 3 – WP'!L16</f>
        <v>6</v>
      </c>
      <c r="F13" s="68">
        <f>'TAHAP 4 – TOPSIS'!M13</f>
        <v>0.42053061492114413</v>
      </c>
      <c r="G13" s="78">
        <f>'TAHAP 4 – TOPSIS'!N13</f>
        <v>6</v>
      </c>
      <c r="H13" s="79" t="str">
        <f>'TAHAP 3 – WP'!M16</f>
        <v>K2</v>
      </c>
      <c r="I13" s="88">
        <f t="shared" si="0"/>
        <v>3.3285830197029433</v>
      </c>
      <c r="J13" s="89">
        <f>RANK(I13,I6:I15,0)</f>
        <v>6</v>
      </c>
      <c r="K13" s="91" t="str">
        <f t="shared" si="1"/>
        <v>Pertahankan &amp; Tingkatkan</v>
      </c>
    </row>
    <row r="14" spans="2:11" ht="24.75" customHeight="1" x14ac:dyDescent="0.25">
      <c r="B14" s="73">
        <v>9</v>
      </c>
      <c r="C14" s="4" t="str">
        <f>'TAHAP 3 – WP'!C17</f>
        <v>Indra Kusuma</v>
      </c>
      <c r="D14" s="64">
        <f>'TAHAP 3 – WP'!K17</f>
        <v>8.3787473185254893</v>
      </c>
      <c r="E14" s="74">
        <f>'TAHAP 3 – WP'!L17</f>
        <v>3</v>
      </c>
      <c r="F14" s="64">
        <f>'TAHAP 4 – TOPSIS'!M14</f>
        <v>0.83279843990937252</v>
      </c>
      <c r="G14" s="74">
        <f>'TAHAP 4 – TOPSIS'!N14</f>
        <v>3</v>
      </c>
      <c r="H14" s="76" t="str">
        <f>'TAHAP 3 – WP'!M17</f>
        <v>K1</v>
      </c>
      <c r="I14" s="88">
        <f t="shared" si="0"/>
        <v>4.6057728792174313</v>
      </c>
      <c r="J14" s="89">
        <f>RANK(I14,I6:I15,0)</f>
        <v>3</v>
      </c>
      <c r="K14" s="90" t="str">
        <f t="shared" si="1"/>
        <v>Promosi / Pengembangan Lanjut</v>
      </c>
    </row>
    <row r="15" spans="2:11" ht="24.75" customHeight="1" x14ac:dyDescent="0.25">
      <c r="B15" s="63">
        <v>10</v>
      </c>
      <c r="C15" s="77" t="str">
        <f>'TAHAP 3 – WP'!C18</f>
        <v>Joko Purnomo</v>
      </c>
      <c r="D15" s="68">
        <f>'TAHAP 3 – WP'!K18</f>
        <v>4.6440564934390753</v>
      </c>
      <c r="E15" s="78">
        <f>'TAHAP 3 – WP'!L18</f>
        <v>9</v>
      </c>
      <c r="F15" s="68">
        <f>'TAHAP 4 – TOPSIS'!M15</f>
        <v>0.1718819018334776</v>
      </c>
      <c r="G15" s="78">
        <f>'TAHAP 4 – TOPSIS'!N15</f>
        <v>9</v>
      </c>
      <c r="H15" s="79" t="str">
        <f>'TAHAP 3 – WP'!M18</f>
        <v>K3</v>
      </c>
      <c r="I15" s="88">
        <f t="shared" si="0"/>
        <v>2.4079691976362763</v>
      </c>
      <c r="J15" s="89">
        <f>RANK(I15,I6:I15,0)</f>
        <v>9</v>
      </c>
      <c r="K15" s="91" t="str">
        <f t="shared" si="1"/>
        <v>Perlu Pembinaan Intensif</v>
      </c>
    </row>
    <row r="17" spans="2:10" ht="15" customHeight="1" x14ac:dyDescent="0.25">
      <c r="B17" s="135" t="s">
        <v>197</v>
      </c>
      <c r="C17" s="135"/>
      <c r="D17" s="135"/>
      <c r="E17" s="135"/>
      <c r="F17" s="135"/>
      <c r="G17" s="135"/>
      <c r="H17" s="135"/>
      <c r="I17" s="135"/>
    </row>
    <row r="18" spans="2:10" ht="34.5" customHeight="1" x14ac:dyDescent="0.25">
      <c r="B18" s="61" t="s">
        <v>67</v>
      </c>
      <c r="C18" s="61" t="s">
        <v>198</v>
      </c>
      <c r="D18" s="61" t="s">
        <v>199</v>
      </c>
      <c r="E18" s="61" t="s">
        <v>200</v>
      </c>
      <c r="F18" s="143" t="s">
        <v>201</v>
      </c>
      <c r="G18" s="143"/>
      <c r="H18" s="143"/>
      <c r="I18" s="143"/>
      <c r="J18" s="143"/>
    </row>
    <row r="19" spans="2:10" ht="30" customHeight="1" x14ac:dyDescent="0.25">
      <c r="B19" s="84" t="s">
        <v>202</v>
      </c>
      <c r="C19" s="92">
        <f>COUNTIF(H6:H15,"K1")</f>
        <v>4</v>
      </c>
      <c r="D19" s="67">
        <f>AVERAGEIF(H6:H15,"K1",D6:D15)</f>
        <v>8.4348425071721369</v>
      </c>
      <c r="E19" s="67">
        <f>AVERAGEIF(H6:H15,"K1",F6:F15)</f>
        <v>0.8624692792523988</v>
      </c>
      <c r="F19" s="138" t="s">
        <v>203</v>
      </c>
      <c r="G19" s="138"/>
      <c r="H19" s="138"/>
      <c r="I19" s="138"/>
    </row>
    <row r="20" spans="2:10" ht="30" customHeight="1" x14ac:dyDescent="0.25">
      <c r="B20" s="93" t="s">
        <v>204</v>
      </c>
      <c r="C20" s="94">
        <f>COUNTIF(H6:H15,"K2")</f>
        <v>2</v>
      </c>
      <c r="D20" s="95">
        <f>AVERAGEIF(H6:H15,"K2",D6:D15)</f>
        <v>6.7764597468117103</v>
      </c>
      <c r="E20" s="95">
        <f>AVERAGEIF(H6:H15,"K2",F6:F15)</f>
        <v>0.53052931641234014</v>
      </c>
      <c r="F20" s="139" t="s">
        <v>205</v>
      </c>
      <c r="G20" s="139"/>
      <c r="H20" s="139"/>
      <c r="I20" s="139"/>
    </row>
    <row r="21" spans="2:10" ht="30" customHeight="1" x14ac:dyDescent="0.25">
      <c r="B21" s="85" t="s">
        <v>206</v>
      </c>
      <c r="C21" s="96">
        <f>COUNTIF(H6:H15,"K3")</f>
        <v>4</v>
      </c>
      <c r="D21" s="97">
        <f>AVERAGEIF(H6:H15,"K3",D6:D15)</f>
        <v>4.9775727371295702</v>
      </c>
      <c r="E21" s="97">
        <f>AVERAGEIF(H6:H15,"K3",F6:F15)</f>
        <v>0.21877632646080711</v>
      </c>
      <c r="F21" s="140" t="s">
        <v>207</v>
      </c>
      <c r="G21" s="140"/>
      <c r="H21" s="140"/>
      <c r="I21" s="140"/>
    </row>
    <row r="23" spans="2:10" ht="15" customHeight="1" x14ac:dyDescent="0.25">
      <c r="B23" s="135" t="s">
        <v>208</v>
      </c>
      <c r="C23" s="135"/>
      <c r="D23" s="135"/>
      <c r="E23" s="135"/>
      <c r="F23" s="135"/>
      <c r="G23" s="135"/>
      <c r="H23" s="135"/>
      <c r="I23" s="135"/>
    </row>
    <row r="24" spans="2:10" ht="27.75" customHeight="1" x14ac:dyDescent="0.25">
      <c r="B24" s="59" t="s">
        <v>209</v>
      </c>
      <c r="C24" s="141" t="s">
        <v>210</v>
      </c>
      <c r="D24" s="141"/>
      <c r="E24" s="141"/>
      <c r="F24" s="141"/>
      <c r="G24" s="141"/>
      <c r="H24" s="141"/>
      <c r="I24" s="141"/>
    </row>
    <row r="25" spans="2:10" ht="27.75" customHeight="1" x14ac:dyDescent="0.25">
      <c r="B25" s="98" t="s">
        <v>211</v>
      </c>
      <c r="C25" s="138" t="s">
        <v>212</v>
      </c>
      <c r="D25" s="138"/>
      <c r="E25" s="138"/>
      <c r="F25" s="138"/>
      <c r="G25" s="138"/>
      <c r="H25" s="138"/>
      <c r="I25" s="138"/>
    </row>
    <row r="26" spans="2:10" ht="27.75" customHeight="1" x14ac:dyDescent="0.25">
      <c r="B26" s="98" t="s">
        <v>213</v>
      </c>
      <c r="C26" s="138" t="s">
        <v>214</v>
      </c>
      <c r="D26" s="138"/>
      <c r="E26" s="138"/>
      <c r="F26" s="138"/>
      <c r="G26" s="138"/>
      <c r="H26" s="138"/>
      <c r="I26" s="138"/>
    </row>
    <row r="27" spans="2:10" ht="27.75" customHeight="1" x14ac:dyDescent="0.25">
      <c r="B27" s="98" t="s">
        <v>215</v>
      </c>
      <c r="C27" s="138" t="s">
        <v>216</v>
      </c>
      <c r="D27" s="138"/>
      <c r="E27" s="138"/>
      <c r="F27" s="138"/>
      <c r="G27" s="138"/>
      <c r="H27" s="138"/>
      <c r="I27" s="138"/>
    </row>
    <row r="28" spans="2:10" ht="27.75" customHeight="1" x14ac:dyDescent="0.25">
      <c r="B28" s="98" t="s">
        <v>217</v>
      </c>
      <c r="C28" s="138" t="s">
        <v>218</v>
      </c>
      <c r="D28" s="138"/>
      <c r="E28" s="138"/>
      <c r="F28" s="138"/>
      <c r="G28" s="138"/>
      <c r="H28" s="138"/>
      <c r="I28" s="138"/>
    </row>
    <row r="29" spans="2:10" ht="27.75" customHeight="1" x14ac:dyDescent="0.25">
      <c r="B29" s="99" t="s">
        <v>219</v>
      </c>
      <c r="C29" s="139" t="s">
        <v>220</v>
      </c>
      <c r="D29" s="139"/>
      <c r="E29" s="139"/>
      <c r="F29" s="139"/>
      <c r="G29" s="139"/>
      <c r="H29" s="139"/>
      <c r="I29" s="139"/>
    </row>
    <row r="30" spans="2:10" ht="27.75" customHeight="1" x14ac:dyDescent="0.25">
      <c r="B30" s="100" t="s">
        <v>221</v>
      </c>
      <c r="C30" s="137" t="s">
        <v>222</v>
      </c>
      <c r="D30" s="137"/>
      <c r="E30" s="137"/>
      <c r="F30" s="137"/>
      <c r="G30" s="137"/>
      <c r="H30" s="137"/>
      <c r="I30" s="137"/>
    </row>
  </sheetData>
  <mergeCells count="16">
    <mergeCell ref="B1:I1"/>
    <mergeCell ref="B2:I2"/>
    <mergeCell ref="B4:I4"/>
    <mergeCell ref="B17:I17"/>
    <mergeCell ref="F18:J18"/>
    <mergeCell ref="F19:I19"/>
    <mergeCell ref="F20:I20"/>
    <mergeCell ref="F21:I21"/>
    <mergeCell ref="B23:I23"/>
    <mergeCell ref="C24:I24"/>
    <mergeCell ref="C30:I30"/>
    <mergeCell ref="C25:I25"/>
    <mergeCell ref="C26:I26"/>
    <mergeCell ref="C27:I27"/>
    <mergeCell ref="C28:I28"/>
    <mergeCell ref="C29:I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TAHAP 1 – K-MEANS</vt:lpstr>
      <vt:lpstr>SILHOUETTE</vt:lpstr>
      <vt:lpstr>TAHAP 2 – AHP</vt:lpstr>
      <vt:lpstr>TAHAP 3 – WP</vt:lpstr>
      <vt:lpstr>TAHAP 4 – TOPSIS</vt:lpstr>
      <vt:lpstr>TAHAP 5 – MODEL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2026-05-09T08:30:48Z</dcterms:created>
  <dcterms:modified xsi:type="dcterms:W3CDTF">2026-05-13T04:34:13Z</dcterms:modified>
  <dc:language>en-US</dc:language>
</cp:coreProperties>
</file>